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はじめに" sheetId="1" state="visible" r:id="rId1"/>
    <sheet name="テスト項目" sheetId="2" state="visible" r:id="rId2"/>
  </sheets>
  <definedNames>
    <definedName name="_xlnm._FilterDatabase" localSheetId="1" hidden="1">'テスト項目'!$A$3:$H$39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ヒラギノ角ゴシック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4314A"/>
      <sz val="16"/>
    </font>
    <font>
      <name val="ヒラギノ角ゴシック"/>
      <family val="2"/>
      <b val="1"/>
      <color rgb="FF14314A"/>
      <sz val="16"/>
    </font>
    <font>
      <name val="ヒラギノ角ゴシック"/>
      <family val="2"/>
      <sz val="11"/>
    </font>
    <font>
      <name val="ヒラギノ角ゴシック"/>
      <family val="2"/>
      <b val="1"/>
      <color rgb="FF14314A"/>
      <sz val="12"/>
    </font>
    <font>
      <name val="ヒラギノ角ゴシック"/>
      <family val="2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ヒラギノ角ゴシック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4314A"/>
      <sz val="12"/>
    </font>
    <font>
      <name val="Arial"/>
      <charset val="1"/>
      <family val="0"/>
      <b val="1"/>
      <color rgb="FFFF5035"/>
      <sz val="11"/>
    </font>
    <font>
      <name val="ヒラギノ角ゴシック"/>
      <family val="2"/>
      <b val="1"/>
      <color rgb="FFFF5035"/>
      <sz val="11"/>
    </font>
    <font>
      <name val="ヒラギノ角ゴシック"/>
      <family val="2"/>
      <b val="1"/>
      <color rgb="FF14314A"/>
      <sz val="14"/>
    </font>
    <font>
      <name val="ヒラギノ角ゴシック"/>
      <family val="2"/>
      <i val="1"/>
      <color rgb="FF8A6D00"/>
      <sz val="10"/>
    </font>
    <font>
      <name val="Arial"/>
      <charset val="1"/>
      <family val="0"/>
      <i val="1"/>
      <color rgb="FF8A6D00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4314A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  <fill>
      <patternFill patternType="solid">
        <fgColor rgb="FFEEF2F6"/>
        <bgColor rgb="FFFFF9E6"/>
      </patternFill>
    </fill>
  </fills>
  <borders count="2">
    <border>
      <left/>
      <right/>
      <top/>
      <bottom/>
      <diagonal/>
    </border>
    <border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/>
    </xf>
    <xf numFmtId="0" fontId="8" fillId="2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top"/>
    </xf>
    <xf numFmtId="0" fontId="11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/>
    </xf>
    <xf numFmtId="0" fontId="12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center" vertical="top"/>
    </xf>
    <xf numFmtId="0" fontId="15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/>
    </xf>
    <xf numFmtId="0" fontId="8" fillId="2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top"/>
    </xf>
    <xf numFmtId="0" fontId="11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/>
    </xf>
    <xf numFmtId="0" fontId="12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center" vertical="top"/>
    </xf>
    <xf numFmtId="0" fontId="15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4314A"/>
          <bgColor rgb="FF000000"/>
        </patternFill>
      </fill>
    </dxf>
    <dxf>
      <fill>
        <patternFill patternType="solid">
          <fgColor rgb="FFEEF2F6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5035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993366"/>
      <rgbColor rgb="FFFFF9E6"/>
      <rgbColor rgb="FFEEF2F6"/>
      <rgbColor rgb="FF660066"/>
      <rgbColor rgb="FFFF8080"/>
      <rgbColor rgb="FF0066CC"/>
      <rgbColor rgb="FFC8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035"/>
      <rgbColor rgb="FF666699"/>
      <rgbColor rgb="FF969696"/>
      <rgbColor rgb="FF1431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64453125" defaultRowHeight="15" customHeight="0" zeroHeight="0" outlineLevelRow="0"/>
  <cols>
    <col width="19.91" customWidth="1" style="28" min="1" max="1"/>
    <col width="35.21" customWidth="1" style="28" min="2" max="2"/>
    <col width="22.97" customWidth="1" style="28" min="3" max="3"/>
    <col width="35.21" customWidth="1" style="28" min="4" max="4"/>
  </cols>
  <sheetData>
    <row r="1" ht="18.65" customHeight="1" s="29">
      <c r="A1" s="30" t="inlineStr">
        <is>
          <t>TETOMI 手動テスト表</t>
        </is>
      </c>
    </row>
    <row r="2" ht="46.25" customHeight="1" s="29">
      <c r="A2" s="31" t="inlineStr">
        <is>
          <t>自動テストでは見られないところだけを集めたもの。「自動化済み」以外を上から順に潰していけば終わります。</t>
        </is>
      </c>
    </row>
    <row r="4" ht="15" customHeight="1" s="29">
      <c r="A4" s="32" t="inlineStr">
        <is>
          <t>書き込む場所</t>
        </is>
      </c>
    </row>
    <row r="5" ht="25.35" customHeight="1" s="29">
      <c r="A5" s="33" t="inlineStr">
        <is>
          <t>結果</t>
        </is>
      </c>
      <c r="B5" s="31" t="inlineStr">
        <is>
          <t>未実施 / OK / NG / 対象外 / 自動化済み から選ぶ（プルダウン）</t>
        </is>
      </c>
    </row>
    <row r="6" ht="25.35" customHeight="1" s="29">
      <c r="A6" s="33" t="inlineStr">
        <is>
          <t>気づいたこと</t>
        </is>
      </c>
      <c r="B6" s="34" t="inlineStr">
        <is>
          <t>NG のときは何が起きたかを書く。OK でも気になったことがあれば書く</t>
        </is>
      </c>
    </row>
    <row r="7" ht="15" customHeight="1" s="29">
      <c r="A7" s="33" t="inlineStr">
        <is>
          <t>実施日</t>
        </is>
      </c>
      <c r="B7" s="31" t="inlineStr">
        <is>
          <t>例: 2026-09-13</t>
        </is>
      </c>
    </row>
    <row r="9" ht="15" customHeight="1" s="29">
      <c r="A9" s="32" t="inlineStr">
        <is>
          <t>進み具合</t>
        </is>
      </c>
    </row>
    <row r="10" ht="15" customHeight="1" s="29">
      <c r="A10" s="35" t="inlineStr">
        <is>
          <t>全部</t>
        </is>
      </c>
      <c r="B10" s="36">
        <f>COUNTA(テスト項目!C5:C100)</f>
        <v/>
      </c>
    </row>
    <row r="11" ht="15" customHeight="1" s="29">
      <c r="A11" s="37" t="inlineStr">
        <is>
          <t>OK</t>
        </is>
      </c>
      <c r="B11" s="36">
        <f>COUNTIF(テスト項目!F5:F100,"OK")</f>
        <v/>
      </c>
    </row>
    <row r="12" ht="15" customHeight="1" s="29">
      <c r="A12" s="37" t="inlineStr">
        <is>
          <t>NG</t>
        </is>
      </c>
      <c r="B12" s="36">
        <f>COUNTIF(テスト項目!F5:F100,"NG")</f>
        <v/>
      </c>
    </row>
    <row r="13" ht="15" customHeight="1" s="29">
      <c r="A13" s="35" t="inlineStr">
        <is>
          <t>未実施</t>
        </is>
      </c>
      <c r="B13" s="36">
        <f>COUNTIF(テスト項目!F5:F100,"未実施")</f>
        <v/>
      </c>
    </row>
    <row r="14" ht="15" customHeight="1" s="29">
      <c r="A14" s="35" t="inlineStr">
        <is>
          <t>必須のうち未実施</t>
        </is>
      </c>
      <c r="B14" s="36">
        <f>COUNTIFS(テスト項目!B5:B100,"必須",テスト項目!F5:F100,"未実施")</f>
        <v/>
      </c>
    </row>
    <row r="15">
      <c r="A15" s="35" t="inlineStr">
        <is>
          <t>自動化済み</t>
        </is>
      </c>
      <c r="B15" s="36">
        <f>COUNTIF(テスト項目!F5:F100,"自動化済み")</f>
        <v/>
      </c>
    </row>
    <row r="16" ht="15" customHeight="1" s="29">
      <c r="A16" s="32" t="inlineStr">
        <is>
          <t>使うアカウント</t>
        </is>
      </c>
    </row>
    <row r="17" ht="38.05" customHeight="1" s="29">
      <c r="A17" s="31" t="inlineStr">
        <is>
          <t>全員パスワードは password123（docs/supabase-seed.sql のシード）</t>
        </is>
      </c>
    </row>
    <row r="18" ht="15" customHeight="1" s="29">
      <c r="A18" s="38" t="inlineStr">
        <is>
          <t>役</t>
        </is>
      </c>
      <c r="B18" s="38" t="inlineStr">
        <is>
          <t>メール</t>
        </is>
      </c>
      <c r="C18" s="38" t="inlineStr">
        <is>
          <t>名前 / 学部</t>
        </is>
      </c>
      <c r="D18" s="38" t="inlineStr">
        <is>
          <t>備考</t>
        </is>
      </c>
    </row>
    <row r="19" ht="15" customHeight="1" s="29">
      <c r="A19" s="39" t="inlineStr">
        <is>
          <t>出品者</t>
        </is>
      </c>
      <c r="B19" s="40" t="inlineStr">
        <is>
          <t>sato@g.chuo-u.ac.jp</t>
        </is>
      </c>
      <c r="C19" s="39" t="inlineStr">
        <is>
          <t>佐藤 花子 / 経済学部</t>
        </is>
      </c>
      <c r="D19" s="40" t="inlineStr">
        <is>
          <t>Stripe Connect 連携済みの唯一のアカウント</t>
        </is>
      </c>
    </row>
    <row r="20" ht="23.85" customHeight="1" s="29">
      <c r="A20" s="39" t="inlineStr">
        <is>
          <t>買い手</t>
        </is>
      </c>
      <c r="B20" s="40" t="inlineStr">
        <is>
          <t>kimura@g.chuo-u.ac.jp</t>
        </is>
      </c>
      <c r="C20" s="39" t="inlineStr">
        <is>
          <t>木村 颯太 / 経済学部</t>
        </is>
      </c>
      <c r="D20" s="39" t="inlineStr">
        <is>
          <t>一覧は自分の学部で絞られるので、出品者と同じ学部</t>
        </is>
      </c>
    </row>
    <row r="21" ht="15" customHeight="1" s="29">
      <c r="A21" s="39" t="inlineStr">
        <is>
          <t>未連携の出品者</t>
        </is>
      </c>
      <c r="B21" s="40" t="inlineStr">
        <is>
          <t>suzuki@g.chuo-u.ac.jp</t>
        </is>
      </c>
      <c r="C21" s="39" t="inlineStr">
        <is>
          <t>鈴木 健一 / 理工学部</t>
        </is>
      </c>
      <c r="D21" s="39" t="inlineStr">
        <is>
          <t>入金先が未設定のときの挙動を見る用</t>
        </is>
      </c>
    </row>
    <row r="22">
      <c r="A22" s="39" t="inlineStr">
        <is>
          <t>未連携の出品者2</t>
        </is>
      </c>
      <c r="B22" s="40" t="inlineStr">
        <is>
          <t>tanaka@g.chuo-u.ac.jp</t>
        </is>
      </c>
      <c r="C22" s="39" t="inlineStr">
        <is>
          <t>田中 太郎 / 法学部</t>
        </is>
      </c>
      <c r="D22" s="39" t="inlineStr">
        <is>
          <t>受取口座の登録（No.20, 21）を試す用。鈴木さんは未連携のまま残す</t>
        </is>
      </c>
    </row>
    <row r="23" ht="15" customHeight="1" s="29">
      <c r="A23" s="32" t="inlineStr">
        <is>
          <t>テストカード（Stripe）</t>
        </is>
      </c>
    </row>
    <row r="24" ht="15" customHeight="1" s="29">
      <c r="A24" s="38" t="inlineStr">
        <is>
          <t>番号</t>
        </is>
      </c>
      <c r="B24" s="38" t="inlineStr">
        <is>
          <t>何が起きるか</t>
        </is>
      </c>
    </row>
    <row r="25" ht="15" customHeight="1" s="29">
      <c r="A25" s="40" t="inlineStr">
        <is>
          <t>4242 4242 4242 4242</t>
        </is>
      </c>
      <c r="B25" s="39" t="inlineStr">
        <is>
          <t>ふつうに通る</t>
        </is>
      </c>
    </row>
    <row r="26" ht="15" customHeight="1" s="29">
      <c r="A26" s="40" t="inlineStr">
        <is>
          <t>4000 0025 0000 3155</t>
        </is>
      </c>
      <c r="B26" s="39" t="inlineStr">
        <is>
          <t>カード会社が本人確認（3Dセキュア）を求める</t>
        </is>
      </c>
    </row>
    <row r="27" ht="15" customHeight="1" s="29">
      <c r="A27" s="40" t="inlineStr">
        <is>
          <t>4000 0000 0000 9995</t>
        </is>
      </c>
      <c r="B27" s="39" t="inlineStr">
        <is>
          <t>残高不足で断られる</t>
        </is>
      </c>
    </row>
    <row r="28" ht="15" customHeight="1" s="29">
      <c r="A28" s="40" t="inlineStr">
        <is>
          <t>4100 0000 0000 0019</t>
        </is>
      </c>
      <c r="B28" s="40" t="inlineStr">
        <is>
          <t>登録は通り、QR読み取りの課金で Radar（不正対策）がブロックする</t>
        </is>
      </c>
    </row>
    <row r="29" ht="38.05" customHeight="1" s="29">
      <c r="A29" s="40" t="inlineStr">
        <is>
          <t>4000 0000 0000 0341</t>
        </is>
      </c>
      <c r="B29" s="40" t="inlineStr">
        <is>
          <t>登録は通り、QR読み取りの課金で断られる</t>
        </is>
      </c>
    </row>
    <row r="30">
      <c r="A30" s="31" t="inlineStr">
        <is>
          <t>有効期限は未来の日付なら何でも（例 12/34）。CVCも任意（例 123）。</t>
        </is>
      </c>
    </row>
    <row r="31" ht="15" customHeight="1" s="29">
      <c r="A31" s="32" t="inlineStr">
        <is>
          <t>始める前に</t>
        </is>
      </c>
    </row>
    <row r="32" ht="38.05" customHeight="1" s="29">
      <c r="A32" s="34" t="inlineStr">
        <is>
          <t>1. プロジェクト直下の .env.development.local を用意する</t>
        </is>
      </c>
    </row>
    <row r="33" ht="39.55" customHeight="1" s="29">
      <c r="A33" s="34" t="inlineStr">
        <is>
          <t xml:space="preserve">     NEXT_PUBLIC_RELEASE_PHASE=3</t>
        </is>
      </c>
    </row>
    <row r="34" ht="49.25" customHeight="1" s="29">
      <c r="A34" s="34" t="inlineStr">
        <is>
          <t xml:space="preserve">     MAIL_REDIRECT_TO=あなたのアドレス     ← メールを確かめるとき（M-3）だけ</t>
        </is>
      </c>
    </row>
    <row r="35" ht="25.35" customHeight="1" s="29">
      <c r="A35" s="34" t="inlineStr">
        <is>
          <t>2. npm run dev で開発サーバーを起動</t>
        </is>
      </c>
    </row>
    <row r="36" ht="39.55" customHeight="1" s="29">
      <c r="A36" s="34" t="inlineStr">
        <is>
          <t>3. テストで作ったデータは npm run test:e2e:cleanup -- --yes で片付く</t>
        </is>
      </c>
    </row>
    <row r="37" ht="36.55" customHeight="1" s="29">
      <c r="A37" s="31" t="inlineStr">
        <is>
          <t xml:space="preserve">     手で作ったものも、タイトルの頭に [E2E] を付けておくと一緒に消える</t>
        </is>
      </c>
    </row>
    <row r="38" ht="49.25" customHeight="1" s="29">
      <c r="A38" s="41" t="inlineStr">
        <is>
          <t>※ MAIL_REDIRECT_TO は本番に絶対入れないこと（全員のメールが1人に届く）</t>
        </is>
      </c>
    </row>
    <row r="40">
      <c r="A40" s="32" t="inlineStr">
        <is>
          <t>自動テストの流し方</t>
        </is>
      </c>
    </row>
    <row r="41">
      <c r="A41" s="34" t="inlineStr">
        <is>
          <t>1. 開発サーバーを動かしたまま npm run test:e2e（「自動化済み」の項目はこれで確かめる）</t>
        </is>
      </c>
    </row>
    <row r="42">
      <c r="A42" s="34" t="inlineStr">
        <is>
          <t>2. 断られるカードの確認（T12c, T13c）は別に流す: npm run test:e2e -- T12c T13c</t>
        </is>
      </c>
    </row>
    <row r="43">
      <c r="A43" s="34" t="inlineStr">
        <is>
          <t xml:space="preserve">     続けて何度も流すと Stripe の不正対策でカード入力欄が出なくなるので、少し時間をおく</t>
        </is>
      </c>
    </row>
    <row r="44">
      <c r="A44" s="34" t="inlineStr">
        <is>
          <t>3. メールの確認（T32, T33）には .env.development.local に MAIL_CAPTURE_DIR=tests/e2e/artifacts/mail が要る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6.64453125" defaultRowHeight="15" customHeight="0" zeroHeight="0" outlineLevelRow="0"/>
  <cols>
    <col width="3.83" customWidth="1" style="28" min="1" max="1"/>
    <col width="5.36" customWidth="1" style="28" min="2" max="2"/>
    <col width="16.84" customWidth="1" style="28" min="3" max="3"/>
    <col width="26.03" customWidth="1" style="28" min="4" max="4"/>
    <col width="44.4" customWidth="1" style="28" min="5" max="5"/>
    <col width="7.66" customWidth="1" style="28" min="6" max="6"/>
    <col width="30.62" customWidth="1" style="28" min="7" max="7"/>
    <col width="9.19" customWidth="1" style="28" min="8" max="8"/>
  </cols>
  <sheetData>
    <row r="1" ht="17.35" customHeight="1" s="29">
      <c r="A1" s="42" t="inlineStr">
        <is>
          <t>手動テスト項目（自動テストでは見られないところ）</t>
        </is>
      </c>
    </row>
    <row r="2" ht="169.4" customHeight="1" s="29">
      <c r="A2" s="31" t="inlineStr">
        <is>
          <t>黄色の列（結果・気づいたこと・実施日）に記入してください。「自動化済み」は自動テストで確かめているので手で動かす必要のない項目です。</t>
        </is>
      </c>
    </row>
    <row r="3" ht="24" customHeight="1" s="29">
      <c r="A3" s="43" t="inlineStr">
        <is>
          <t>No</t>
        </is>
      </c>
      <c r="B3" s="44" t="inlineStr">
        <is>
          <t>必須</t>
        </is>
      </c>
      <c r="C3" s="44" t="inlineStr">
        <is>
          <t>分類</t>
        </is>
      </c>
      <c r="D3" s="44" t="inlineStr">
        <is>
          <t>確認すること</t>
        </is>
      </c>
      <c r="E3" s="44" t="inlineStr">
        <is>
          <t>やり方・見るところ</t>
        </is>
      </c>
      <c r="F3" s="44" t="inlineStr">
        <is>
          <t>結果</t>
        </is>
      </c>
      <c r="G3" s="44" t="inlineStr">
        <is>
          <t>気づいたこと</t>
        </is>
      </c>
      <c r="H3" s="44" t="inlineStr">
        <is>
          <t>実施日</t>
        </is>
      </c>
    </row>
    <row r="4" ht="30" customHeight="1" s="29">
      <c r="A4" s="45" t="inlineStr">
        <is>
          <t>例</t>
        </is>
      </c>
      <c r="B4" s="45" t="inlineStr">
        <is>
          <t>必須</t>
        </is>
      </c>
      <c r="C4" s="46" t="inlineStr">
        <is>
          <t>M-1 カメラでQR読み取り</t>
        </is>
      </c>
      <c r="D4" s="45" t="inlineStr">
        <is>
          <t>（記入例）カメラの許可を求める表示が出る</t>
        </is>
      </c>
      <c r="E4" s="45" t="inlineStr">
        <is>
          <t>ここに書いてある通りに試す</t>
        </is>
      </c>
      <c r="F4" s="46" t="inlineStr">
        <is>
          <t>OK</t>
        </is>
      </c>
      <c r="G4" s="45" t="inlineStr">
        <is>
          <t>許可を拒否すると「カメラを使えません」と出た。文言は分かりやすい</t>
        </is>
      </c>
      <c r="H4" s="46" t="inlineStr">
        <is>
          <t>2026-09-13</t>
        </is>
      </c>
    </row>
    <row r="5" ht="33.75" customHeight="1" s="29">
      <c r="A5" s="47" t="n">
        <v>1</v>
      </c>
      <c r="B5" s="48" t="inlineStr">
        <is>
          <t>必須</t>
        </is>
      </c>
      <c r="C5" s="40" t="inlineStr">
        <is>
          <t>M-1 カメラでQR読み取り</t>
        </is>
      </c>
      <c r="D5" s="39" t="inlineStr">
        <is>
          <t>カメラの許可を求める表示が出る（実機）</t>
        </is>
      </c>
      <c r="E5" s="39" t="inlineStr">
        <is>
          <t>出品者のマイページ→受け取った購入希望→「QRを読み取って決済」。拒否したときに何が起きるか分かる文言が出るか</t>
        </is>
      </c>
      <c r="F5" s="49" t="inlineStr">
        <is>
          <t>未実施</t>
        </is>
      </c>
      <c r="G5" s="50" t="inlineStr">
        <is>
          <t>拒否したときの文言は自動テスト T31 で確認済み。実機に出る許可ダイアログだけ手で見る。文言の食い違いは No.37</t>
        </is>
      </c>
      <c r="H5" s="50" t="n"/>
    </row>
    <row r="6" ht="33.75" customHeight="1" s="29">
      <c r="A6" s="51" t="n">
        <v>2</v>
      </c>
      <c r="B6" s="52" t="inlineStr">
        <is>
          <t>必須</t>
        </is>
      </c>
      <c r="C6" s="53" t="inlineStr">
        <is>
          <t>M-1 カメラでQR読み取り</t>
        </is>
      </c>
      <c r="D6" s="54" t="inlineStr">
        <is>
          <t>実際の明るさ・手ぶれで読み取れる</t>
        </is>
      </c>
      <c r="E6" s="54" t="inlineStr">
        <is>
          <t>受け渡しは屋内で立ち話。買い手のQRをPC画面に出し、スマホのカメラで読むと1台＋PCで試せる</t>
        </is>
      </c>
      <c r="F6" s="49" t="inlineStr">
        <is>
          <t>未実施</t>
        </is>
      </c>
      <c r="G6" s="54" t="n"/>
      <c r="H6" s="54" t="n"/>
    </row>
    <row r="7" ht="33.75" customHeight="1" s="29">
      <c r="A7" s="47" t="n">
        <v>3</v>
      </c>
      <c r="B7" s="48" t="inlineStr">
        <is>
          <t>必須</t>
        </is>
      </c>
      <c r="C7" s="40" t="inlineStr">
        <is>
          <t>M-1 カメラでQR読み取り</t>
        </is>
      </c>
      <c r="D7" s="39" t="inlineStr">
        <is>
          <t>読み取りから決済完了までの待ち時間</t>
        </is>
      </c>
      <c r="E7" s="39" t="inlineStr">
        <is>
          <t>相手を待たせて気まずくない長さか。体感で何秒かかったかを書く</t>
        </is>
      </c>
      <c r="F7" s="49" t="inlineStr">
        <is>
          <t>未実施</t>
        </is>
      </c>
      <c r="G7" s="50" t="inlineStr">
        <is>
          <t>参考：手元のPCでの自動計測では、出品者側 2.1秒・買い手側 4.3秒（T30）</t>
        </is>
      </c>
      <c r="H7" s="50" t="n"/>
    </row>
    <row r="8" ht="33.75" customHeight="1" s="29">
      <c r="A8" s="51" t="n">
        <v>4</v>
      </c>
      <c r="B8" s="52" t="inlineStr">
        <is>
          <t>必須</t>
        </is>
      </c>
      <c r="C8" s="53" t="inlineStr">
        <is>
          <t>M-1 カメラでQR読み取り</t>
        </is>
      </c>
      <c r="D8" s="54" t="inlineStr">
        <is>
          <t>決済完了が双方の画面で分かる</t>
        </is>
      </c>
      <c r="E8" s="54" t="inlineStr">
        <is>
          <t>出品者側と買い手側の両方を見る</t>
        </is>
      </c>
      <c r="F8" s="49" t="inlineStr">
        <is>
          <t>自動化済み</t>
        </is>
      </c>
      <c r="G8" s="54" t="inlineStr">
        <is>
          <t>自動テスト T30（偽のカメラに買い手のQRを映して本物の読み取り画面で読む）。※開発モードの読み取り画面の不具合（No.36）を直すまで T30 は落ちる</t>
        </is>
      </c>
      <c r="H8" s="54" t="inlineStr">
        <is>
          <t>2026-09-18</t>
        </is>
      </c>
    </row>
    <row r="9" ht="33.75" customHeight="1" s="29">
      <c r="A9" s="47" t="n">
        <v>5</v>
      </c>
      <c r="B9" s="55" t="inlineStr">
        <is>
          <t>推奨</t>
        </is>
      </c>
      <c r="C9" s="40" t="inlineStr">
        <is>
          <t>M-1 カメラでQR読み取り</t>
        </is>
      </c>
      <c r="D9" s="39" t="inlineStr">
        <is>
          <t>買い手の画面が自動で切り替わる</t>
        </is>
      </c>
      <c r="E9" s="40" t="inlineStr">
        <is>
          <t>4秒おきに見に行く作り。手で更新しなくても「決済が完了しています」に変わるか</t>
        </is>
      </c>
      <c r="F9" s="49" t="inlineStr">
        <is>
          <t>自動化済み</t>
        </is>
      </c>
      <c r="G9" s="50" t="inlineStr">
        <is>
          <t>自動テスト T30。読み取りから買い手の画面が切り替わるまで 4.3秒（手元のPCで計測）</t>
        </is>
      </c>
      <c r="H9" s="50" t="inlineStr">
        <is>
          <t>2026-09-18</t>
        </is>
      </c>
    </row>
    <row r="10" ht="33.75" customHeight="1" s="29">
      <c r="A10" s="51" t="n">
        <v>6</v>
      </c>
      <c r="B10" s="52" t="inlineStr">
        <is>
          <t>必須</t>
        </is>
      </c>
      <c r="C10" s="53" t="inlineStr">
        <is>
          <t>M-2 カード入力と3DS</t>
        </is>
      </c>
      <c r="D10" s="53" t="inlineStr">
        <is>
          <t>4242 4242 4242 4242 で登録できる</t>
        </is>
      </c>
      <c r="E10" s="53" t="inlineStr">
        <is>
          <t>/checkout/&lt;予約ID&gt; を開く。登録後にQRが出ること</t>
        </is>
      </c>
      <c r="F10" s="49" t="inlineStr">
        <is>
          <t>自動化済み</t>
        </is>
      </c>
      <c r="G10" s="54" t="inlineStr">
        <is>
          <t>自動テスト T12</t>
        </is>
      </c>
      <c r="H10" s="54" t="inlineStr">
        <is>
          <t>2026-09-18</t>
        </is>
      </c>
    </row>
    <row r="11" ht="33.75" customHeight="1" s="29">
      <c r="A11" s="55" t="n">
        <v>7</v>
      </c>
      <c r="B11" s="48" t="inlineStr">
        <is>
          <t>必須</t>
        </is>
      </c>
      <c r="C11" s="40" t="inlineStr">
        <is>
          <t>M-2 カード入力と3DS</t>
        </is>
      </c>
      <c r="D11" s="40" t="inlineStr">
        <is>
          <t>4000 0025 0000 3155 で本人確認が出る</t>
        </is>
      </c>
      <c r="E11" s="39" t="inlineStr">
        <is>
          <t>通すと登録できること。途中でやめたときに日本語で分かる文言が出ること</t>
        </is>
      </c>
      <c r="F11" s="49" t="inlineStr">
        <is>
          <t>自動化済み</t>
        </is>
      </c>
      <c r="G11" s="50" t="inlineStr">
        <is>
          <t>自動テスト T12（通す）・T12c（途中でやめる→「決済手段を認証できませんでした。別の決済手段を選択してやりなおしてください。」）</t>
        </is>
      </c>
      <c r="H11" s="50" t="inlineStr">
        <is>
          <t>2026-09-18</t>
        </is>
      </c>
    </row>
    <row r="12" ht="33.75" customHeight="1" s="29">
      <c r="A12" s="51" t="n">
        <v>8</v>
      </c>
      <c r="B12" s="52" t="inlineStr">
        <is>
          <t>必須</t>
        </is>
      </c>
      <c r="C12" s="53" t="inlineStr">
        <is>
          <t>M-2 カード入力と3DS</t>
        </is>
      </c>
      <c r="D12" s="53" t="inlineStr">
        <is>
          <t>4000 0000 0000 9995 で残高不足の文言</t>
        </is>
      </c>
      <c r="E12" s="54" t="inlineStr">
        <is>
          <t>「残高が足りません」に相当する日本語。コードや英語がそのまま出ていないこと</t>
        </is>
      </c>
      <c r="F12" s="49" t="inlineStr">
        <is>
          <t>自動化済み</t>
        </is>
      </c>
      <c r="G12" s="54" t="inlineStr">
        <is>
          <t>自動テスト T12c。「カード残高が不足しています。別のカードをお試しください。」と出る</t>
        </is>
      </c>
      <c r="H12" s="54" t="inlineStr">
        <is>
          <t>2026-09-18</t>
        </is>
      </c>
    </row>
    <row r="13" ht="33.75" customHeight="1" s="29">
      <c r="A13" s="55" t="n">
        <v>9</v>
      </c>
      <c r="B13" s="55" t="inlineStr">
        <is>
          <t>推奨</t>
        </is>
      </c>
      <c r="C13" s="40" t="inlineStr">
        <is>
          <t>M-2 カード入力と3DS</t>
        </is>
      </c>
      <c r="D13" s="40" t="inlineStr">
        <is>
          <t>4100 0000 0000 0019 でブロックの文言（QR読み取り時）</t>
        </is>
      </c>
      <c r="E13" s="39" t="inlineStr">
        <is>
          <t>登録は通る。受け渡しの場でQRを読み取ったときにブロックされ、日本語で伝わること</t>
        </is>
      </c>
      <c r="F13" s="49" t="inlineStr">
        <is>
          <t>自動化済み</t>
        </is>
      </c>
      <c r="G13" s="50" t="inlineStr">
        <is>
          <t>自動テスト T13c。このカードは登録の時点では通り、QR読み取りの課金で「不正利用の疑いがあるため決済がブロックされました。」と出る</t>
        </is>
      </c>
      <c r="H13" s="50" t="inlineStr">
        <is>
          <t>2026-09-18</t>
        </is>
      </c>
    </row>
    <row r="14" ht="33.75" customHeight="1" s="29">
      <c r="A14" s="51" t="n">
        <v>10</v>
      </c>
      <c r="B14" s="52" t="inlineStr">
        <is>
          <t>必須</t>
        </is>
      </c>
      <c r="C14" s="53" t="inlineStr">
        <is>
          <t>M-2 カード入力と3DS</t>
        </is>
      </c>
      <c r="D14" s="54" t="inlineStr">
        <is>
          <t>どのカードでもエラー画面が出ない</t>
        </is>
      </c>
      <c r="E14" s="53" t="inlineStr">
        <is>
          <t>500エラーやStripeのエラーコードが画面にそのまま出ないこと</t>
        </is>
      </c>
      <c r="F14" s="49" t="inlineStr">
        <is>
          <t>自動化済み</t>
        </is>
      </c>
      <c r="G14" s="54" t="inlineStr">
        <is>
          <t>自動テスト T12c・T13c（エラー画面・コード・英語が出ないこと）</t>
        </is>
      </c>
      <c r="H14" s="54" t="inlineStr">
        <is>
          <t>2026-09-18</t>
        </is>
      </c>
    </row>
    <row r="15" ht="33.75" customHeight="1" s="29">
      <c r="A15" s="55" t="n">
        <v>11</v>
      </c>
      <c r="B15" s="48" t="inlineStr">
        <is>
          <t>必須</t>
        </is>
      </c>
      <c r="C15" s="40" t="inlineStr">
        <is>
          <t>M-2 カード入力と3DS</t>
        </is>
      </c>
      <c r="D15" s="39" t="inlineStr">
        <is>
          <t>登録しただけでは請求されないと分かる</t>
        </is>
      </c>
      <c r="E15" s="39" t="inlineStr">
        <is>
          <t>カード登録画面に「QR読み取りで決済」の説明が出ているか</t>
        </is>
      </c>
      <c r="F15" s="49" t="inlineStr">
        <is>
          <t>自動化済み</t>
        </is>
      </c>
      <c r="G15" s="50" t="inlineStr">
        <is>
          <t>自動テスト T05・T12・T12b（説明の表示と、登録だけでは課金されないこと）</t>
        </is>
      </c>
      <c r="H15" s="50" t="inlineStr">
        <is>
          <t>2026-09-18</t>
        </is>
      </c>
    </row>
    <row r="16" ht="33.75" customHeight="1" s="29">
      <c r="A16" s="51" t="n">
        <v>12</v>
      </c>
      <c r="B16" s="52" t="inlineStr">
        <is>
          <t>必須</t>
        </is>
      </c>
      <c r="C16" s="53" t="inlineStr">
        <is>
          <t>M-3 メール通知</t>
        </is>
      </c>
      <c r="D16" s="54" t="inlineStr">
        <is>
          <t>購入希望が届いたとき、出品者に届く</t>
        </is>
      </c>
      <c r="E16" s="53" t="inlineStr">
        <is>
          <t>MAIL_REDIRECT_TO を設定して npm run test:e2e を流すと5種類まとめて届く</t>
        </is>
      </c>
      <c r="F16" s="49" t="inlineStr">
        <is>
          <t>自動化済み</t>
        </is>
      </c>
      <c r="G16" s="54" t="inlineStr">
        <is>
          <t>自動テスト T32（送るはずだったメールの宛先・日時・場所・金額を確認。操作した本人には届かない）</t>
        </is>
      </c>
      <c r="H16" s="54" t="inlineStr">
        <is>
          <t>2026-09-18</t>
        </is>
      </c>
    </row>
    <row r="17" ht="33.75" customHeight="1" s="29">
      <c r="A17" s="55" t="n">
        <v>13</v>
      </c>
      <c r="B17" s="48" t="inlineStr">
        <is>
          <t>必須</t>
        </is>
      </c>
      <c r="C17" s="40" t="inlineStr">
        <is>
          <t>M-3 メール通知</t>
        </is>
      </c>
      <c r="D17" s="39" t="inlineStr">
        <is>
          <t>日程が確定したとき、買い手に届く</t>
        </is>
      </c>
      <c r="E17" s="39" t="inlineStr">
        <is>
          <t>受け渡しの日時・場所が正しく入っているか</t>
        </is>
      </c>
      <c r="F17" s="49" t="inlineStr">
        <is>
          <t>自動化済み</t>
        </is>
      </c>
      <c r="G17" s="50" t="inlineStr">
        <is>
          <t>自動テスト T32（送るはずだったメールの宛先・日時・場所・金額を確認。操作した本人には届かない）</t>
        </is>
      </c>
      <c r="H17" s="50" t="inlineStr">
        <is>
          <t>2026-09-18</t>
        </is>
      </c>
    </row>
    <row r="18" ht="33.75" customHeight="1" s="29">
      <c r="A18" s="51" t="n">
        <v>14</v>
      </c>
      <c r="B18" s="56" t="inlineStr">
        <is>
          <t>推奨</t>
        </is>
      </c>
      <c r="C18" s="53" t="inlineStr">
        <is>
          <t>M-3 メール通知</t>
        </is>
      </c>
      <c r="D18" s="54" t="inlineStr">
        <is>
          <t>別日程を提案したとき、買い手に届く</t>
        </is>
      </c>
      <c r="E18" s="54" t="inlineStr">
        <is>
          <t>提案された日時・場所が正しいか</t>
        </is>
      </c>
      <c r="F18" s="49" t="inlineStr">
        <is>
          <t>自動化済み</t>
        </is>
      </c>
      <c r="G18" s="54" t="inlineStr">
        <is>
          <t>自動テスト T32（送るはずだったメールの宛先・日時・場所・金額を確認。操作した本人には届かない）</t>
        </is>
      </c>
      <c r="H18" s="54" t="inlineStr">
        <is>
          <t>2026-09-18</t>
        </is>
      </c>
    </row>
    <row r="19" ht="33.75" customHeight="1" s="29">
      <c r="A19" s="55" t="n">
        <v>15</v>
      </c>
      <c r="B19" s="55" t="inlineStr">
        <is>
          <t>推奨</t>
        </is>
      </c>
      <c r="C19" s="40" t="inlineStr">
        <is>
          <t>M-3 メール通知</t>
        </is>
      </c>
      <c r="D19" s="39" t="inlineStr">
        <is>
          <t>取りやめたとき、相手に届く</t>
        </is>
      </c>
      <c r="E19" s="39" t="inlineStr">
        <is>
          <t>誰が取りやめたかが分かるか</t>
        </is>
      </c>
      <c r="F19" s="49" t="inlineStr">
        <is>
          <t>自動化済み</t>
        </is>
      </c>
      <c r="G19" s="50" t="inlineStr">
        <is>
          <t>自動テスト T32（送るはずだったメールの宛先・日時・場所・金額を確認。操作した本人には届かない）</t>
        </is>
      </c>
      <c r="H19" s="50" t="inlineStr">
        <is>
          <t>2026-09-18</t>
        </is>
      </c>
    </row>
    <row r="20" ht="33.75" customHeight="1" s="29">
      <c r="A20" s="56" t="n">
        <v>16</v>
      </c>
      <c r="B20" s="52" t="inlineStr">
        <is>
          <t>必須</t>
        </is>
      </c>
      <c r="C20" s="53" t="inlineStr">
        <is>
          <t>M-3 メール通知</t>
        </is>
      </c>
      <c r="D20" s="54" t="inlineStr">
        <is>
          <t>決済完了が買い手と出品者の両方に届く</t>
        </is>
      </c>
      <c r="E20" s="53" t="inlineStr">
        <is>
          <t>2通とも届くこと</t>
        </is>
      </c>
      <c r="F20" s="49" t="inlineStr">
        <is>
          <t>自動化済み</t>
        </is>
      </c>
      <c r="G20" s="54" t="inlineStr">
        <is>
          <t>自動テスト T33（買い手・出品者に1通ずつ。二重送信なし）</t>
        </is>
      </c>
      <c r="H20" s="54" t="inlineStr">
        <is>
          <t>2026-09-18</t>
        </is>
      </c>
    </row>
    <row r="21" ht="33.75" customHeight="1" s="29">
      <c r="A21" s="55" t="n">
        <v>17</v>
      </c>
      <c r="B21" s="48" t="inlineStr">
        <is>
          <t>必須</t>
        </is>
      </c>
      <c r="C21" s="40" t="inlineStr">
        <is>
          <t>M-3 メール通知</t>
        </is>
      </c>
      <c r="D21" s="39" t="inlineStr">
        <is>
          <t>出品者宛の金額が Stripe と一致する</t>
        </is>
      </c>
      <c r="E21" s="39" t="inlineStr">
        <is>
          <t>販売価格 − 手数料 = お受け取り額。Stripeダッシュボードの数字と突き合わせる</t>
        </is>
      </c>
      <c r="F21" s="49" t="inlineStr">
        <is>
          <t>自動化済み</t>
        </is>
      </c>
      <c r="G21" s="50" t="inlineStr">
        <is>
          <t>自動テスト T33。例: 販売価格 ¥1,500 − 手数料 ¥150 = お受け取り額 ¥1,350 が Stripe と一致</t>
        </is>
      </c>
      <c r="H21" s="50" t="inlineStr">
        <is>
          <t>2026-09-18</t>
        </is>
      </c>
    </row>
    <row r="22" ht="33.75" customHeight="1" s="29">
      <c r="A22" s="56" t="n">
        <v>18</v>
      </c>
      <c r="B22" s="52" t="inlineStr">
        <is>
          <t>必須</t>
        </is>
      </c>
      <c r="C22" s="53" t="inlineStr">
        <is>
          <t>M-3 メール通知</t>
        </is>
      </c>
      <c r="D22" s="54" t="inlineStr">
        <is>
          <t>迷惑メールに入らない</t>
        </is>
      </c>
      <c r="E22" s="53" t="inlineStr">
        <is>
          <t>npm run test:resend -- 自分のアドレス でも到達性を確認できる</t>
        </is>
      </c>
      <c r="F22" s="49" t="inlineStr">
        <is>
          <t>未実施</t>
        </is>
      </c>
      <c r="G22" s="54" t="inlineStr">
        <is>
          <t>本物の送信で届くことは前回確認済み（MAIL_REDIRECT_TO か npm run test:resend で再確認できる）</t>
        </is>
      </c>
      <c r="H22" s="54" t="n"/>
    </row>
    <row r="23" ht="33.75" customHeight="1" s="29">
      <c r="A23" s="55" t="n">
        <v>19</v>
      </c>
      <c r="B23" s="48" t="inlineStr">
        <is>
          <t>必須</t>
        </is>
      </c>
      <c r="C23" s="40" t="inlineStr">
        <is>
          <t>M-3 メール通知</t>
        </is>
      </c>
      <c r="D23" s="39" t="inlineStr">
        <is>
          <t>スマホのメールアプリで崩れない</t>
        </is>
      </c>
      <c r="E23" s="39" t="inlineStr">
        <is>
          <t>文字が切れたり、ボタンが押せなかったりしないか</t>
        </is>
      </c>
      <c r="F23" s="49" t="inlineStr">
        <is>
          <t>未実施</t>
        </is>
      </c>
      <c r="G23" s="50" t="n"/>
      <c r="H23" s="50" t="n"/>
    </row>
    <row r="24" ht="33.75" customHeight="1" s="29">
      <c r="A24" s="56" t="n">
        <v>20</v>
      </c>
      <c r="B24" s="52" t="inlineStr">
        <is>
          <t>必須</t>
        </is>
      </c>
      <c r="C24" s="53" t="inlineStr">
        <is>
          <t>M-4 入金先の登録（Connect）</t>
        </is>
      </c>
      <c r="D24" s="54" t="inlineStr">
        <is>
          <t>受取口座の登録が最後まで通る</t>
        </is>
      </c>
      <c r="E24" s="53" t="inlineStr">
        <is>
          <t>/sell/connect →「口座登録をはじめる」。テストモードは自動入力のボタンが使える。※手元の環境（http://localhost）では開始できない（No.39）。https の環境で試す</t>
        </is>
      </c>
      <c r="F24" s="49" t="inlineStr">
        <is>
          <t>未実施</t>
        </is>
      </c>
      <c r="G24" s="54" t="inlineStr">
        <is>
          <t>Stripe の登録フォームを最後まで埋める部分は、画面の作りに依存して壊れやすいので手で確かめる</t>
        </is>
      </c>
      <c r="H24" s="54" t="n"/>
    </row>
    <row r="25" ht="33.75" customHeight="1" s="29">
      <c r="A25" s="55" t="n">
        <v>21</v>
      </c>
      <c r="B25" s="48" t="inlineStr">
        <is>
          <t>必須</t>
        </is>
      </c>
      <c r="C25" s="40" t="inlineStr">
        <is>
          <t>M-4 入金先の登録（Connect）</t>
        </is>
      </c>
      <c r="D25" s="39" t="inlineStr">
        <is>
          <t>途中でブラウザを閉じてもやり直せる</t>
        </is>
      </c>
      <c r="E25" s="39" t="inlineStr">
        <is>
          <t>途中でやめてから /sell/connect を開き直し、「登録を続ける」で同じアカウントの続きへ進めるか。https の環境で試す</t>
        </is>
      </c>
      <c r="F25" s="49" t="inlineStr">
        <is>
          <t>未実施</t>
        </is>
      </c>
      <c r="G25" s="50" t="inlineStr">
        <is>
          <t>自動テスト T36 は用意済みだが、手元の環境では口座の作成自体ができず保留（No.39）</t>
        </is>
      </c>
      <c r="H25" s="50" t="n"/>
    </row>
    <row r="26" ht="33.75" customHeight="1" s="29">
      <c r="A26" s="56" t="n">
        <v>22</v>
      </c>
      <c r="B26" s="52" t="inlineStr">
        <is>
          <t>必須</t>
        </is>
      </c>
      <c r="C26" s="53" t="inlineStr">
        <is>
          <t>M-4 入金先の登録（Connect）</t>
        </is>
      </c>
      <c r="D26" s="54" t="inlineStr">
        <is>
          <t>未登録の出品者にはQRが出ない</t>
        </is>
      </c>
      <c r="E26" s="53" t="inlineStr">
        <is>
          <t>suzuki の出品に購入希望を出し、買い手側でQRが出ないことを確認</t>
        </is>
      </c>
      <c r="F26" s="49" t="inlineStr">
        <is>
          <t>自動化済み</t>
        </is>
      </c>
      <c r="G26" s="54" t="inlineStr">
        <is>
          <t>自動テスト T24</t>
        </is>
      </c>
      <c r="H26" s="54" t="inlineStr">
        <is>
          <t>2026-09-18</t>
        </is>
      </c>
    </row>
    <row r="27" ht="33.75" customHeight="1" s="29">
      <c r="A27" s="55" t="n">
        <v>23</v>
      </c>
      <c r="B27" s="55" t="inlineStr">
        <is>
          <t>推奨</t>
        </is>
      </c>
      <c r="C27" s="40" t="inlineStr">
        <is>
          <t>M-4 入金先の登録（Connect）</t>
        </is>
      </c>
      <c r="D27" s="39" t="inlineStr">
        <is>
          <t>「売上・入金を確認する」から Stripe に入れる</t>
        </is>
      </c>
      <c r="E27" s="39" t="inlineStr">
        <is>
          <t>出品者向けの画面が開くこと</t>
        </is>
      </c>
      <c r="F27" s="49" t="inlineStr">
        <is>
          <t>自動化済み</t>
        </is>
      </c>
      <c r="G27" s="50" t="inlineStr">
        <is>
          <t>自動テスト T35（connect.stripe.com の出品者向け画面が開く）</t>
        </is>
      </c>
      <c r="H27" s="50" t="inlineStr">
        <is>
          <t>2026-09-18</t>
        </is>
      </c>
    </row>
    <row r="28" ht="33.75" customHeight="1" s="29">
      <c r="A28" s="56" t="n">
        <v>24</v>
      </c>
      <c r="B28" s="56" t="inlineStr">
        <is>
          <t>推奨</t>
        </is>
      </c>
      <c r="C28" s="53" t="inlineStr">
        <is>
          <t>M-5 出品者への入金</t>
        </is>
      </c>
      <c r="D28" s="54" t="inlineStr">
        <is>
          <t>残高と入金予定日が見える</t>
        </is>
      </c>
      <c r="E28" s="53" t="inlineStr">
        <is>
          <t>Stripeの出品者向けダッシュボード</t>
        </is>
      </c>
      <c r="F28" s="49" t="inlineStr">
        <is>
          <t>自動化済み</t>
        </is>
      </c>
      <c r="G28" s="54" t="inlineStr">
        <is>
          <t>自動テスト T17（出品者の残高に入金予定額が立つ）・T35（画面が開く）</t>
        </is>
      </c>
      <c r="H28" s="54" t="inlineStr">
        <is>
          <t>2026-09-18</t>
        </is>
      </c>
    </row>
    <row r="29" ht="33.75" customHeight="1" s="29">
      <c r="A29" s="55" t="n">
        <v>25</v>
      </c>
      <c r="B29" s="55" t="inlineStr">
        <is>
          <t>推奨</t>
        </is>
      </c>
      <c r="C29" s="40" t="inlineStr">
        <is>
          <t>M-5 出品者への入金</t>
        </is>
      </c>
      <c r="D29" s="39" t="inlineStr">
        <is>
          <t>入金サイクルが設定されている</t>
        </is>
      </c>
      <c r="E29" s="39" t="inlineStr">
        <is>
          <t>テストモードでは実際の着金は起きない</t>
        </is>
      </c>
      <c r="F29" s="49" t="inlineStr">
        <is>
          <t>自動化済み</t>
        </is>
      </c>
      <c r="G29" s="50" t="inlineStr">
        <is>
          <t>自動テスト T18（銀行口座と入金サイクルの設定）。実際の着金は No.41 で公開後に確認</t>
        </is>
      </c>
      <c r="H29" s="50" t="inlineStr">
        <is>
          <t>2026-09-18</t>
        </is>
      </c>
    </row>
    <row r="30" ht="33.75" customHeight="1" s="29">
      <c r="A30" s="56" t="n">
        <v>26</v>
      </c>
      <c r="B30" s="52" t="inlineStr">
        <is>
          <t>必須</t>
        </is>
      </c>
      <c r="C30" s="53" t="inlineStr">
        <is>
          <t>M-6 スマホでの見え方</t>
        </is>
      </c>
      <c r="D30" s="53" t="inlineStr">
        <is>
          <t>QRが読める大きさで画面に収まる</t>
        </is>
      </c>
      <c r="E30" s="54" t="inlineStr">
        <is>
          <t>実機で確認</t>
        </is>
      </c>
      <c r="F30" s="49" t="inlineStr">
        <is>
          <t>未実施</t>
        </is>
      </c>
      <c r="G30" s="54" t="n"/>
      <c r="H30" s="54" t="n"/>
    </row>
    <row r="31" ht="33.75" customHeight="1" s="29">
      <c r="A31" s="55" t="n">
        <v>27</v>
      </c>
      <c r="B31" s="48" t="inlineStr">
        <is>
          <t>必須</t>
        </is>
      </c>
      <c r="C31" s="40" t="inlineStr">
        <is>
          <t>M-6 スマホでの見え方</t>
        </is>
      </c>
      <c r="D31" s="39" t="inlineStr">
        <is>
          <t>「QRを読み取って決済」が押しやすい</t>
        </is>
      </c>
      <c r="E31" s="39" t="inlineStr">
        <is>
          <t>片手で持って親指が届くか</t>
        </is>
      </c>
      <c r="F31" s="49" t="inlineStr">
        <is>
          <t>未実施</t>
        </is>
      </c>
      <c r="G31" s="50" t="n"/>
      <c r="H31" s="50" t="n"/>
    </row>
    <row r="32" ht="33.75" customHeight="1" s="29">
      <c r="A32" s="56" t="n">
        <v>28</v>
      </c>
      <c r="B32" s="56" t="inlineStr">
        <is>
          <t>推奨</t>
        </is>
      </c>
      <c r="C32" s="53" t="inlineStr">
        <is>
          <t>M-6 スマホでの見え方</t>
        </is>
      </c>
      <c r="D32" s="54" t="inlineStr">
        <is>
          <t>購入希望のモーダルがはみ出さない</t>
        </is>
      </c>
      <c r="E32" s="54" t="inlineStr">
        <is>
          <t>候補日の選択・場所・メッセージまでスクロールできるか</t>
        </is>
      </c>
      <c r="F32" s="49" t="inlineStr">
        <is>
          <t>自動化済み</t>
        </is>
      </c>
      <c r="G32" s="54" t="inlineStr">
        <is>
          <t>自動テスト T37（390px の画面で、候補日3件・場所・メッセージ・「確認へ進む」「購入希望を送る」まで押せる。横のはみ出しなし）</t>
        </is>
      </c>
      <c r="H32" s="54" t="inlineStr">
        <is>
          <t>2026-09-19</t>
        </is>
      </c>
    </row>
    <row r="33" ht="33.75" customHeight="1" s="29">
      <c r="A33" s="55" t="n">
        <v>29</v>
      </c>
      <c r="B33" s="48" t="inlineStr">
        <is>
          <t>必須</t>
        </is>
      </c>
      <c r="C33" s="40" t="inlineStr">
        <is>
          <t>M-6 スマホでの見え方</t>
        </is>
      </c>
      <c r="D33" s="39" t="inlineStr">
        <is>
          <t>電波が弱いときに二度押ししない</t>
        </is>
      </c>
      <c r="E33" s="39" t="inlineStr">
        <is>
          <t>押したあとボタンが無効になるか。機内モードのオンオフで試せる</t>
        </is>
      </c>
      <c r="F33" s="49" t="inlineStr">
        <is>
          <t>自動化済み</t>
        </is>
      </c>
      <c r="G33" s="50" t="inlineStr">
        <is>
          <t>自動テスト T38（往復2.5秒の回線で3回たたいても購入希望は1件。押した直後にボタンが無効・「送信中…」）</t>
        </is>
      </c>
      <c r="H33" s="50" t="inlineStr">
        <is>
          <t>2026-09-19</t>
        </is>
      </c>
    </row>
    <row r="34" ht="33.75" customHeight="1" s="29">
      <c r="A34" s="56" t="n">
        <v>30</v>
      </c>
      <c r="B34" s="56" t="inlineStr">
        <is>
          <t>推奨</t>
        </is>
      </c>
      <c r="C34" s="53" t="inlineStr">
        <is>
          <t>M-7 決済後の返金</t>
        </is>
      </c>
      <c r="D34" s="54" t="inlineStr">
        <is>
          <t>買い手のカードへ返金される</t>
        </is>
      </c>
      <c r="E34" s="53" t="inlineStr">
        <is>
          <t>node --env-file=.env.local scripts/stripe-refund.mjs &lt;予約ID&gt;（先に --dry-run）</t>
        </is>
      </c>
      <c r="F34" s="49" t="inlineStr">
        <is>
          <t>自動化済み</t>
        </is>
      </c>
      <c r="G34" s="54" t="inlineStr">
        <is>
          <t>自動テスト T34（--dry-run では何も変わらないことも確認）</t>
        </is>
      </c>
      <c r="H34" s="54" t="inlineStr">
        <is>
          <t>2026-09-18</t>
        </is>
      </c>
    </row>
    <row r="35" ht="33.75" customHeight="1" s="29">
      <c r="A35" s="55" t="n">
        <v>31</v>
      </c>
      <c r="B35" s="55" t="inlineStr">
        <is>
          <t>推奨</t>
        </is>
      </c>
      <c r="C35" s="40" t="inlineStr">
        <is>
          <t>M-7 決済後の返金</t>
        </is>
      </c>
      <c r="D35" s="39" t="inlineStr">
        <is>
          <t>出品者の残高が減り、手数料も戻る</t>
        </is>
      </c>
      <c r="E35" s="40" t="inlineStr">
        <is>
          <t>Stripeダッシュボードで確認</t>
        </is>
      </c>
      <c r="F35" s="49" t="inlineStr">
        <is>
          <t>自動化済み</t>
        </is>
      </c>
      <c r="G35" s="50" t="inlineStr">
        <is>
          <t>自動テスト T34。送金の巻き戻しと手数料の返却、出品者の残高が決済前の額に戻ることを確認</t>
        </is>
      </c>
      <c r="H35" s="50" t="inlineStr">
        <is>
          <t>2026-09-18</t>
        </is>
      </c>
    </row>
    <row r="36" ht="33.75" customHeight="1" s="29">
      <c r="A36" s="56" t="n">
        <v>32</v>
      </c>
      <c r="B36" s="56" t="inlineStr">
        <is>
          <t>推奨</t>
        </is>
      </c>
      <c r="C36" s="53" t="inlineStr">
        <is>
          <t>M-7 決済後の返金</t>
        </is>
      </c>
      <c r="D36" s="54" t="inlineStr">
        <is>
          <t>予約が「キャンセル」に戻る</t>
        </is>
      </c>
      <c r="E36" s="54" t="inlineStr">
        <is>
          <t>マイページで確認</t>
        </is>
      </c>
      <c r="F36" s="49" t="inlineStr">
        <is>
          <t>自動化済み</t>
        </is>
      </c>
      <c r="G36" s="54" t="inlineStr">
        <is>
          <t>自動テスト T34</t>
        </is>
      </c>
      <c r="H36" s="54" t="inlineStr">
        <is>
          <t>2026-09-18</t>
        </is>
      </c>
    </row>
    <row r="37" ht="33.75" customHeight="1" s="29">
      <c r="A37" s="55" t="n">
        <v>33</v>
      </c>
      <c r="B37" s="55" t="inlineStr">
        <is>
          <t>推奨</t>
        </is>
      </c>
      <c r="C37" s="40" t="inlineStr">
        <is>
          <t>M-7 決済後の返金</t>
        </is>
      </c>
      <c r="D37" s="39" t="inlineStr">
        <is>
          <t>出品は「完了」のまま残る</t>
        </is>
      </c>
      <c r="E37" s="39" t="inlineStr">
        <is>
          <t>既知の不備（C-4）。再出品は手作業になることの確認</t>
        </is>
      </c>
      <c r="F37" s="49" t="inlineStr">
        <is>
          <t>自動化済み</t>
        </is>
      </c>
      <c r="G37" s="50" t="inlineStr">
        <is>
          <t>自動テスト T34 で確認（既知の不備 C-4 のとおり「完了」のまま）。再出品の手順は No.40</t>
        </is>
      </c>
      <c r="H37" s="50" t="inlineStr">
        <is>
          <t>2026-09-18</t>
        </is>
      </c>
    </row>
    <row r="38" ht="33.75" customHeight="1" s="29">
      <c r="A38" s="56" t="n">
        <v>34</v>
      </c>
      <c r="B38" s="52" t="inlineStr">
        <is>
          <t>必須</t>
        </is>
      </c>
      <c r="C38" s="53" t="inlineStr">
        <is>
          <t>M-8 在籍期限切れ</t>
        </is>
      </c>
      <c r="D38" s="54" t="inlineStr">
        <is>
          <t>期限切れだと出品できない</t>
        </is>
      </c>
      <c r="E38" s="53" t="inlineStr">
        <is>
          <t>profiles.enrollment_valid_until を過去の日付にする。フォームの代わりに再認証の案内が出るか</t>
        </is>
      </c>
      <c r="F38" s="49" t="inlineStr">
        <is>
          <t>自動化済み</t>
        </is>
      </c>
      <c r="G38" s="54" t="inlineStr">
        <is>
          <t>自動テスト T28（画面の案内に加え、DBへの直接書き込みも拒否される）</t>
        </is>
      </c>
      <c r="H38" s="54" t="inlineStr">
        <is>
          <t>2026-09-18</t>
        </is>
      </c>
    </row>
    <row r="39" ht="33.75" customHeight="1" s="29">
      <c r="A39" s="55" t="n">
        <v>35</v>
      </c>
      <c r="B39" s="48" t="inlineStr">
        <is>
          <t>必須</t>
        </is>
      </c>
      <c r="C39" s="40" t="inlineStr">
        <is>
          <t>M-8 在籍期限切れ</t>
        </is>
      </c>
      <c r="D39" s="39" t="inlineStr">
        <is>
          <t>期限切れだと購入希望が送れない</t>
        </is>
      </c>
      <c r="E39" s="39" t="inlineStr">
        <is>
          <t>同上</t>
        </is>
      </c>
      <c r="F39" s="49" t="inlineStr">
        <is>
          <t>自動化済み</t>
        </is>
      </c>
      <c r="G39" s="50" t="inlineStr">
        <is>
          <t>自動テスト T29（画面は /reverify へ。APIを直接叩いても拒否。※そのときのエラー文は英語の生のまま＝ふつうの利用では見えない）</t>
        </is>
      </c>
      <c r="H39" s="50" t="inlineStr">
        <is>
          <t>2026-09-18</t>
        </is>
      </c>
    </row>
    <row r="40" ht="33.75" customHeight="1" s="29">
      <c r="A40" s="55" t="n">
        <v>36</v>
      </c>
      <c r="B40" s="48" t="inlineStr">
        <is>
          <t>必須</t>
        </is>
      </c>
      <c r="C40" s="40" t="inlineStr">
        <is>
          <t>M-1 カメラでQR読み取り</t>
        </is>
      </c>
      <c r="D40" s="39" t="inlineStr">
        <is>
          <t>開発サーバーでも読み取り画面にカメラが映る</t>
        </is>
      </c>
      <c r="E40" s="39" t="inlineStr">
        <is>
          <t>不具合の修正後に、npm run dev の画面をスマホで開いて「QRを読み取って決済」を押す</t>
        </is>
      </c>
      <c r="F40" s="49" t="inlineStr">
        <is>
          <t>NG</t>
        </is>
      </c>
      <c r="G40" s="50" t="inlineStr">
        <is>
          <t>修正済み（ブランチ fix/scanner-camera-dev-strictmode）。原因は2つ：読み取り画面の後片付けがカメラを止めていた／受け渡しQRの合言葉を2回発行してQRが無効になっていた。develop に入ったら npm run dev の画面で実際に読み取って確認する</t>
        </is>
      </c>
      <c r="H40" s="50" t="inlineStr">
        <is>
          <t>2026-09-18</t>
        </is>
      </c>
    </row>
    <row r="41" ht="33.75" customHeight="1" s="29">
      <c r="A41" s="55" t="n">
        <v>37</v>
      </c>
      <c r="B41" s="48" t="inlineStr">
        <is>
          <t>必須</t>
        </is>
      </c>
      <c r="C41" s="40" t="inlineStr">
        <is>
          <t>M-1 カメラでQR読み取り</t>
        </is>
      </c>
      <c r="D41" s="39" t="inlineStr">
        <is>
          <t>カメラが使えないときの案内が実際の画面と合っている</t>
        </is>
      </c>
      <c r="E41" s="39" t="inlineStr">
        <is>
          <t>カメラを拒否したときの文言どおりに操作できるか</t>
        </is>
      </c>
      <c r="F41" s="49" t="inlineStr">
        <is>
          <t>NG</t>
        </is>
      </c>
      <c r="G41" s="50" t="inlineStr">
        <is>
          <t>修正済み（ブランチ fix/scanner-camera-dev-strictmode）。受け渡しQRでは「ブラウザの設定でこのサイトのカメラを許可してから、もう一度お試しください。」に変更（ISBN の読み取りは手入力の欄があるので今までどおり）。develop に入ったら確認</t>
        </is>
      </c>
      <c r="H41" s="50" t="inlineStr">
        <is>
          <t>2026-09-18</t>
        </is>
      </c>
    </row>
    <row r="42" ht="33.75" customHeight="1" s="29">
      <c r="A42" s="55" t="n">
        <v>38</v>
      </c>
      <c r="B42" s="48" t="inlineStr">
        <is>
          <t>推奨</t>
        </is>
      </c>
      <c r="C42" s="40" t="inlineStr">
        <is>
          <t>M-2 カード入力と3DS</t>
        </is>
      </c>
      <c r="D42" s="39" t="inlineStr">
        <is>
          <t>受け渡しの場でカードが断られたとき、次に何をすればいいか分かる</t>
        </is>
      </c>
      <c r="E42" s="39" t="inlineStr">
        <is>
          <t>出品者・買い手の両方の画面で、断られたあとの動き（QRの出し直し・別のカード）が迷わずできるか</t>
        </is>
      </c>
      <c r="F42" s="49" t="inlineStr">
        <is>
          <t>未実施</t>
        </is>
      </c>
      <c r="G42" s="50" t="inlineStr">
        <is>
          <t>文言は日本語で出る（T13c）。0341 のカードは理由の分からない「決済に失敗しました…」になる。その場で困らないかを人が見る</t>
        </is>
      </c>
      <c r="H42" s="50" t="n"/>
    </row>
    <row r="43" ht="33.75" customHeight="1" s="29">
      <c r="A43" s="55" t="n">
        <v>39</v>
      </c>
      <c r="B43" s="48" t="inlineStr">
        <is>
          <t>推奨</t>
        </is>
      </c>
      <c r="C43" s="40" t="inlineStr">
        <is>
          <t>M-4 入金先の登録（Connect）</t>
        </is>
      </c>
      <c r="D43" s="39" t="inlineStr">
        <is>
          <t>手元の環境でも受取口座の登録を始められる</t>
        </is>
      </c>
      <c r="E43" s="39" t="inlineStr">
        <is>
          <t>npm run dev:local で /sell/connect →「口座登録をはじめる」</t>
        </is>
      </c>
      <c r="F43" s="49" t="inlineStr">
        <is>
          <t>NG</t>
        </is>
      </c>
      <c r="G43" s="50" t="inlineStr">
        <is>
          <t>事業のURLとして http://localhost:3000 を Stripe に送り、Stripe が受け付けない（lib/payment-provider/stripe-connect.ts の business_url）。本番（https://tetomi.jp）では起きない見込み</t>
        </is>
      </c>
      <c r="H43" s="50" t="inlineStr">
        <is>
          <t>2026-09-18</t>
        </is>
      </c>
    </row>
    <row r="44" ht="33.75" customHeight="1" s="29">
      <c r="A44" s="55" t="n">
        <v>40</v>
      </c>
      <c r="B44" s="48" t="inlineStr">
        <is>
          <t>推奨</t>
        </is>
      </c>
      <c r="C44" s="40" t="inlineStr">
        <is>
          <t>M-7 決済後の返金</t>
        </is>
      </c>
      <c r="D44" s="39" t="inlineStr">
        <is>
          <t>返金したあと、出品を手で「出品中」に戻せる</t>
        </is>
      </c>
      <c r="E44" s="39" t="inlineStr">
        <is>
          <t>返金スクリプトの後、出品が「完了」のまま残る（C-4）。運営が戻す手順が分かり、戻したあと一覧に出るか</t>
        </is>
      </c>
      <c r="F44" s="49" t="inlineStr">
        <is>
          <t>未実施</t>
        </is>
      </c>
      <c r="G44" s="50" t="inlineStr"/>
      <c r="H44" s="50" t="n"/>
    </row>
    <row r="45" ht="33.75" customHeight="1" s="29">
      <c r="A45" s="55" t="n">
        <v>41</v>
      </c>
      <c r="B45" s="48" t="inlineStr">
        <is>
          <t>必須</t>
        </is>
      </c>
      <c r="C45" s="40" t="inlineStr">
        <is>
          <t>M-5 出品者への入金</t>
        </is>
      </c>
      <c r="D45" s="39" t="inlineStr">
        <is>
          <t>本番公開後、初回の売上が出品者の銀行口座に着金する</t>
        </is>
      </c>
      <c r="E45" s="39" t="inlineStr">
        <is>
          <t>公開後に実際の取引で確認。Stripe の出品者向け画面で入金の状態を見る</t>
        </is>
      </c>
      <c r="F45" s="49" t="inlineStr">
        <is>
          <t>未実施</t>
        </is>
      </c>
      <c r="G45" s="50" t="inlineStr">
        <is>
          <t>テストモードでは確かめられない</t>
        </is>
      </c>
      <c r="H45" s="50" t="n"/>
    </row>
  </sheetData>
  <autoFilter ref="A3:H39"/>
  <dataValidations count="1">
    <dataValidation sqref="F5:F65" showDropDown="0" showInputMessage="0" showErrorMessage="0" allowBlank="1" type="list">
      <formula1>"未実施,OK,NG,対象外,自動化済み"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2026-09-12T11:40:25Z</dcterms:created>
  <dcterms:modified xsi:type="dcterms:W3CDTF">2026-09-19T00:16:30Z</dcterms:modified>
  <cp:revision>0</cp:revision>
</cp:coreProperties>
</file>