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はじめに" sheetId="1" state="visible" r:id="rId3"/>
    <sheet name="テスト項目" sheetId="2" state="visible" r:id="rId4"/>
  </sheets>
  <definedNames>
    <definedName function="false" hidden="true" localSheetId="1" name="_xlnm._FilterDatabase" vbProcedure="false">テスト項目!$A$3:$H$39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<sst xmlns="http://schemas.openxmlformats.org/spreadsheetml/2006/main" count="246" uniqueCount="145">
  <si>
    <r>
      <rPr>
        <b val="true"/>
        <sz val="16"/>
        <color rgb="FF14314A"/>
        <rFont val="Arial"/>
        <family val="0"/>
        <charset val="1"/>
      </rPr>
      <t xml:space="preserve">TETOMI </t>
    </r>
    <r>
      <rPr>
        <b val="true"/>
        <sz val="16"/>
        <color rgb="FF14314A"/>
        <rFont val="ヒラギノ角ゴシック"/>
        <family val="2"/>
      </rPr>
      <t xml:space="preserve">手動テスト表</t>
    </r>
  </si>
  <si>
    <t xml:space="preserve">自動テストでは見られないところだけを集めたもの。上から順に潰していけば終わります。</t>
  </si>
  <si>
    <t xml:space="preserve">書き込む場所</t>
  </si>
  <si>
    <t xml:space="preserve">結果</t>
  </si>
  <si>
    <r>
      <rPr>
        <sz val="11"/>
        <rFont val="ヒラギノ角ゴシック"/>
        <family val="2"/>
      </rPr>
      <t xml:space="preserve">未実施 </t>
    </r>
    <r>
      <rPr>
        <sz val="11"/>
        <rFont val="Arial"/>
        <family val="0"/>
        <charset val="1"/>
      </rPr>
      <t xml:space="preserve">/ OK / NG / </t>
    </r>
    <r>
      <rPr>
        <sz val="11"/>
        <rFont val="ヒラギノ角ゴシック"/>
        <family val="2"/>
      </rPr>
      <t xml:space="preserve">対象外 から選ぶ（プルダウン）</t>
    </r>
  </si>
  <si>
    <t xml:space="preserve">気づいたこと</t>
  </si>
  <si>
    <r>
      <rPr>
        <sz val="11"/>
        <rFont val="Arial"/>
        <family val="0"/>
        <charset val="1"/>
      </rPr>
      <t xml:space="preserve">NG </t>
    </r>
    <r>
      <rPr>
        <sz val="11"/>
        <rFont val="ヒラギノ角ゴシック"/>
        <family val="2"/>
      </rPr>
      <t xml:space="preserve">のときは何が起きたかを書く。</t>
    </r>
    <r>
      <rPr>
        <sz val="11"/>
        <rFont val="Arial"/>
        <family val="0"/>
        <charset val="1"/>
      </rPr>
      <t xml:space="preserve">OK </t>
    </r>
    <r>
      <rPr>
        <sz val="11"/>
        <rFont val="ヒラギノ角ゴシック"/>
        <family val="2"/>
      </rPr>
      <t xml:space="preserve">でも気になったことがあれば書く</t>
    </r>
  </si>
  <si>
    <t xml:space="preserve">実施日</t>
  </si>
  <si>
    <r>
      <rPr>
        <sz val="11"/>
        <rFont val="ヒラギノ角ゴシック"/>
        <family val="2"/>
      </rPr>
      <t xml:space="preserve">例</t>
    </r>
    <r>
      <rPr>
        <sz val="11"/>
        <rFont val="Arial"/>
        <family val="0"/>
        <charset val="1"/>
      </rPr>
      <t xml:space="preserve">: 2026-09-13</t>
    </r>
  </si>
  <si>
    <t xml:space="preserve">進み具合</t>
  </si>
  <si>
    <t xml:space="preserve">全部</t>
  </si>
  <si>
    <t xml:space="preserve">OK</t>
  </si>
  <si>
    <t xml:space="preserve">NG</t>
  </si>
  <si>
    <t xml:space="preserve">未実施</t>
  </si>
  <si>
    <t xml:space="preserve">必須のうち未実施</t>
  </si>
  <si>
    <t xml:space="preserve">使うアカウント</t>
  </si>
  <si>
    <r>
      <rPr>
        <sz val="11"/>
        <rFont val="ヒラギノ角ゴシック"/>
        <family val="2"/>
      </rPr>
      <t xml:space="preserve">全員パスワードは </t>
    </r>
    <r>
      <rPr>
        <sz val="11"/>
        <rFont val="Arial"/>
        <family val="0"/>
        <charset val="1"/>
      </rPr>
      <t xml:space="preserve">password123</t>
    </r>
    <r>
      <rPr>
        <sz val="11"/>
        <rFont val="ヒラギノ角ゴシック"/>
        <family val="2"/>
      </rPr>
      <t xml:space="preserve">（</t>
    </r>
    <r>
      <rPr>
        <sz val="11"/>
        <rFont val="Arial"/>
        <family val="0"/>
        <charset val="1"/>
      </rPr>
      <t xml:space="preserve">docs/supabase-seed.sql </t>
    </r>
    <r>
      <rPr>
        <sz val="11"/>
        <rFont val="ヒラギノ角ゴシック"/>
        <family val="2"/>
      </rPr>
      <t xml:space="preserve">のシード）</t>
    </r>
  </si>
  <si>
    <t xml:space="preserve">役</t>
  </si>
  <si>
    <t xml:space="preserve">メール</t>
  </si>
  <si>
    <r>
      <rPr>
        <b val="true"/>
        <sz val="11"/>
        <color rgb="FFFFFFFF"/>
        <rFont val="ヒラギノ角ゴシック"/>
        <family val="2"/>
      </rPr>
      <t xml:space="preserve">名前 </t>
    </r>
    <r>
      <rPr>
        <b val="true"/>
        <sz val="11"/>
        <color rgb="FFFFFFFF"/>
        <rFont val="Arial"/>
        <family val="0"/>
        <charset val="1"/>
      </rPr>
      <t xml:space="preserve">/ </t>
    </r>
    <r>
      <rPr>
        <b val="true"/>
        <sz val="11"/>
        <color rgb="FFFFFFFF"/>
        <rFont val="ヒラギノ角ゴシック"/>
        <family val="2"/>
      </rPr>
      <t xml:space="preserve">学部</t>
    </r>
  </si>
  <si>
    <t xml:space="preserve">備考</t>
  </si>
  <si>
    <t xml:space="preserve">出品者</t>
  </si>
  <si>
    <t xml:space="preserve">sato@g.chuo-u.ac.jp</t>
  </si>
  <si>
    <r>
      <rPr>
        <sz val="11"/>
        <rFont val="ヒラギノ角ゴシック"/>
        <family val="2"/>
      </rPr>
      <t xml:space="preserve">佐藤 花子 </t>
    </r>
    <r>
      <rPr>
        <sz val="11"/>
        <rFont val="Arial"/>
        <family val="0"/>
        <charset val="1"/>
      </rPr>
      <t xml:space="preserve">/ </t>
    </r>
    <r>
      <rPr>
        <sz val="11"/>
        <rFont val="ヒラギノ角ゴシック"/>
        <family val="2"/>
      </rPr>
      <t xml:space="preserve">経済学部</t>
    </r>
  </si>
  <si>
    <r>
      <rPr>
        <sz val="11"/>
        <rFont val="Arial"/>
        <family val="0"/>
        <charset val="1"/>
      </rPr>
      <t xml:space="preserve">Stripe Connect </t>
    </r>
    <r>
      <rPr>
        <sz val="11"/>
        <rFont val="ヒラギノ角ゴシック"/>
        <family val="2"/>
      </rPr>
      <t xml:space="preserve">連携済みの唯一のアカウント</t>
    </r>
  </si>
  <si>
    <t xml:space="preserve">買い手</t>
  </si>
  <si>
    <t xml:space="preserve">kimura@g.chuo-u.ac.jp</t>
  </si>
  <si>
    <r>
      <rPr>
        <sz val="11"/>
        <rFont val="ヒラギノ角ゴシック"/>
        <family val="2"/>
      </rPr>
      <t xml:space="preserve">木村 颯太 </t>
    </r>
    <r>
      <rPr>
        <sz val="11"/>
        <rFont val="Arial"/>
        <family val="0"/>
        <charset val="1"/>
      </rPr>
      <t xml:space="preserve">/ </t>
    </r>
    <r>
      <rPr>
        <sz val="11"/>
        <rFont val="ヒラギノ角ゴシック"/>
        <family val="2"/>
      </rPr>
      <t xml:space="preserve">経済学部</t>
    </r>
  </si>
  <si>
    <t xml:space="preserve">一覧は自分の学部で絞られるので、出品者と同じ学部</t>
  </si>
  <si>
    <t xml:space="preserve">未連携の出品者</t>
  </si>
  <si>
    <t xml:space="preserve">suzuki@g.chuo-u.ac.jp</t>
  </si>
  <si>
    <r>
      <rPr>
        <sz val="11"/>
        <rFont val="ヒラギノ角ゴシック"/>
        <family val="2"/>
      </rPr>
      <t xml:space="preserve">鈴木 健一 </t>
    </r>
    <r>
      <rPr>
        <sz val="11"/>
        <rFont val="Arial"/>
        <family val="0"/>
        <charset val="1"/>
      </rPr>
      <t xml:space="preserve">/ </t>
    </r>
    <r>
      <rPr>
        <sz val="11"/>
        <rFont val="ヒラギノ角ゴシック"/>
        <family val="2"/>
      </rPr>
      <t xml:space="preserve">理工学部</t>
    </r>
  </si>
  <si>
    <t xml:space="preserve">入金先が未設定のときの挙動を見る用</t>
  </si>
  <si>
    <r>
      <rPr>
        <b val="true"/>
        <sz val="12"/>
        <color rgb="FF14314A"/>
        <rFont val="ヒラギノ角ゴシック"/>
        <family val="2"/>
      </rPr>
      <t xml:space="preserve">テストカード（</t>
    </r>
    <r>
      <rPr>
        <b val="true"/>
        <sz val="12"/>
        <color rgb="FF14314A"/>
        <rFont val="Arial"/>
        <family val="0"/>
        <charset val="1"/>
      </rPr>
      <t xml:space="preserve">Stripe</t>
    </r>
    <r>
      <rPr>
        <b val="true"/>
        <sz val="12"/>
        <color rgb="FF14314A"/>
        <rFont val="ヒラギノ角ゴシック"/>
        <family val="2"/>
      </rPr>
      <t xml:space="preserve">）</t>
    </r>
  </si>
  <si>
    <t xml:space="preserve">番号</t>
  </si>
  <si>
    <t xml:space="preserve">何が起きるか</t>
  </si>
  <si>
    <t xml:space="preserve">4242 4242 4242 4242</t>
  </si>
  <si>
    <t xml:space="preserve">ふつうに通る</t>
  </si>
  <si>
    <t xml:space="preserve">4000 0025 0000 3155</t>
  </si>
  <si>
    <r>
      <rPr>
        <sz val="11"/>
        <rFont val="ヒラギノ角ゴシック"/>
        <family val="2"/>
      </rPr>
      <t xml:space="preserve">カード会社が本人確認（</t>
    </r>
    <r>
      <rPr>
        <sz val="11"/>
        <rFont val="Arial"/>
        <family val="0"/>
        <charset val="1"/>
      </rPr>
      <t xml:space="preserve">3D</t>
    </r>
    <r>
      <rPr>
        <sz val="11"/>
        <rFont val="ヒラギノ角ゴシック"/>
        <family val="2"/>
      </rPr>
      <t xml:space="preserve">セキュア）を求める</t>
    </r>
  </si>
  <si>
    <t xml:space="preserve">4000 0000 0000 9995</t>
  </si>
  <si>
    <t xml:space="preserve">残高不足で断られる</t>
  </si>
  <si>
    <t xml:space="preserve">4100 0000 0000 0019</t>
  </si>
  <si>
    <r>
      <rPr>
        <sz val="11"/>
        <rFont val="Arial"/>
        <family val="0"/>
        <charset val="1"/>
      </rPr>
      <t xml:space="preserve">Radar</t>
    </r>
    <r>
      <rPr>
        <sz val="11"/>
        <rFont val="ヒラギノ角ゴシック"/>
        <family val="2"/>
      </rPr>
      <t xml:space="preserve">（不正対策）がブロックする</t>
    </r>
  </si>
  <si>
    <r>
      <rPr>
        <sz val="11"/>
        <rFont val="ヒラギノ角ゴシック"/>
        <family val="2"/>
      </rPr>
      <t xml:space="preserve">有効期限は未来の日付なら何でも（例 </t>
    </r>
    <r>
      <rPr>
        <sz val="11"/>
        <rFont val="Arial"/>
        <family val="0"/>
        <charset val="1"/>
      </rPr>
      <t xml:space="preserve">12/34</t>
    </r>
    <r>
      <rPr>
        <sz val="11"/>
        <rFont val="ヒラギノ角ゴシック"/>
        <family val="2"/>
      </rPr>
      <t xml:space="preserve">）。</t>
    </r>
    <r>
      <rPr>
        <sz val="11"/>
        <rFont val="Arial"/>
        <family val="0"/>
        <charset val="1"/>
      </rPr>
      <t xml:space="preserve">CVC</t>
    </r>
    <r>
      <rPr>
        <sz val="11"/>
        <rFont val="ヒラギノ角ゴシック"/>
        <family val="2"/>
      </rPr>
      <t xml:space="preserve">も任意（例 </t>
    </r>
    <r>
      <rPr>
        <sz val="11"/>
        <rFont val="Arial"/>
        <family val="0"/>
        <charset val="1"/>
      </rPr>
      <t xml:space="preserve">123</t>
    </r>
    <r>
      <rPr>
        <sz val="11"/>
        <rFont val="ヒラギノ角ゴシック"/>
        <family val="2"/>
      </rPr>
      <t xml:space="preserve">）。</t>
    </r>
  </si>
  <si>
    <t xml:space="preserve">始める前に</t>
  </si>
  <si>
    <r>
      <rPr>
        <sz val="11"/>
        <rFont val="Arial"/>
        <family val="0"/>
        <charset val="1"/>
      </rPr>
      <t xml:space="preserve">1. </t>
    </r>
    <r>
      <rPr>
        <sz val="11"/>
        <rFont val="ヒラギノ角ゴシック"/>
        <family val="2"/>
      </rPr>
      <t xml:space="preserve">プロジェクト直下の </t>
    </r>
    <r>
      <rPr>
        <sz val="11"/>
        <rFont val="Arial"/>
        <family val="0"/>
        <charset val="1"/>
      </rPr>
      <t xml:space="preserve">.env.development.local </t>
    </r>
    <r>
      <rPr>
        <sz val="11"/>
        <rFont val="ヒラギノ角ゴシック"/>
        <family val="2"/>
      </rPr>
      <t xml:space="preserve">を用意する</t>
    </r>
  </si>
  <si>
    <t xml:space="preserve">     NEXT_PUBLIC_RELEASE_PHASE=3</t>
  </si>
  <si>
    <r>
      <rPr>
        <sz val="11"/>
        <rFont val="Arial"/>
        <family val="0"/>
        <charset val="1"/>
      </rPr>
      <t xml:space="preserve">     MAIL_REDIRECT_TO=</t>
    </r>
    <r>
      <rPr>
        <sz val="11"/>
        <rFont val="ヒラギノ角ゴシック"/>
        <family val="2"/>
      </rPr>
      <t xml:space="preserve">あなたのアドレス     ← メールを確かめるとき（</t>
    </r>
    <r>
      <rPr>
        <sz val="11"/>
        <rFont val="Arial"/>
        <family val="0"/>
        <charset val="1"/>
      </rPr>
      <t xml:space="preserve">M-3</t>
    </r>
    <r>
      <rPr>
        <sz val="11"/>
        <rFont val="ヒラギノ角ゴシック"/>
        <family val="2"/>
      </rPr>
      <t xml:space="preserve">）だけ</t>
    </r>
  </si>
  <si>
    <r>
      <rPr>
        <sz val="11"/>
        <rFont val="Arial"/>
        <family val="0"/>
        <charset val="1"/>
      </rPr>
      <t xml:space="preserve">2. npm run dev </t>
    </r>
    <r>
      <rPr>
        <sz val="11"/>
        <rFont val="ヒラギノ角ゴシック"/>
        <family val="2"/>
      </rPr>
      <t xml:space="preserve">で開発サーバーを起動</t>
    </r>
  </si>
  <si>
    <r>
      <rPr>
        <sz val="11"/>
        <rFont val="Arial"/>
        <family val="0"/>
        <charset val="1"/>
      </rPr>
      <t xml:space="preserve">3. </t>
    </r>
    <r>
      <rPr>
        <sz val="11"/>
        <rFont val="ヒラギノ角ゴシック"/>
        <family val="2"/>
      </rPr>
      <t xml:space="preserve">テストで作ったデータは </t>
    </r>
    <r>
      <rPr>
        <sz val="11"/>
        <rFont val="Arial"/>
        <family val="0"/>
        <charset val="1"/>
      </rPr>
      <t xml:space="preserve">npm run test:e2e:cleanup -- --yes </t>
    </r>
    <r>
      <rPr>
        <sz val="11"/>
        <rFont val="ヒラギノ角ゴシック"/>
        <family val="2"/>
      </rPr>
      <t xml:space="preserve">で片付く</t>
    </r>
  </si>
  <si>
    <r>
      <rPr>
        <sz val="11"/>
        <rFont val="ヒラギノ角ゴシック"/>
        <family val="2"/>
      </rPr>
      <t xml:space="preserve">     手で作ったものも、タイトルの頭に </t>
    </r>
    <r>
      <rPr>
        <sz val="11"/>
        <rFont val="Arial"/>
        <family val="0"/>
        <charset val="1"/>
      </rPr>
      <t xml:space="preserve">[E2E] </t>
    </r>
    <r>
      <rPr>
        <sz val="11"/>
        <rFont val="ヒラギノ角ゴシック"/>
        <family val="2"/>
      </rPr>
      <t xml:space="preserve">を付けておくと一緒に消える</t>
    </r>
  </si>
  <si>
    <r>
      <rPr>
        <b val="true"/>
        <sz val="11"/>
        <color rgb="FFFF5035"/>
        <rFont val="Arial"/>
        <family val="0"/>
        <charset val="1"/>
      </rPr>
      <t xml:space="preserve">※ MAIL_REDIRECT_TO </t>
    </r>
    <r>
      <rPr>
        <b val="true"/>
        <sz val="11"/>
        <color rgb="FFFF5035"/>
        <rFont val="ヒラギノ角ゴシック"/>
        <family val="2"/>
      </rPr>
      <t xml:space="preserve">は本番に絶対入れないこと（全員のメールが</t>
    </r>
    <r>
      <rPr>
        <b val="true"/>
        <sz val="11"/>
        <color rgb="FFFF5035"/>
        <rFont val="Arial"/>
        <family val="0"/>
        <charset val="1"/>
      </rPr>
      <t xml:space="preserve">1</t>
    </r>
    <r>
      <rPr>
        <b val="true"/>
        <sz val="11"/>
        <color rgb="FFFF5035"/>
        <rFont val="ヒラギノ角ゴシック"/>
        <family val="2"/>
      </rPr>
      <t xml:space="preserve">人に届く）</t>
    </r>
  </si>
  <si>
    <t xml:space="preserve">手動テスト項目（自動テストでは見られないところ）</t>
  </si>
  <si>
    <t xml:space="preserve">黄色の列（結果・気づいたこと・実施日）に記入してください。</t>
  </si>
  <si>
    <t xml:space="preserve">No</t>
  </si>
  <si>
    <t xml:space="preserve">必須</t>
  </si>
  <si>
    <t xml:space="preserve">分類</t>
  </si>
  <si>
    <t xml:space="preserve">確認すること</t>
  </si>
  <si>
    <t xml:space="preserve">やり方・見るところ</t>
  </si>
  <si>
    <t xml:space="preserve">例</t>
  </si>
  <si>
    <r>
      <rPr>
        <i val="true"/>
        <sz val="10"/>
        <color rgb="FF8A6D00"/>
        <rFont val="Arial"/>
        <family val="0"/>
        <charset val="1"/>
      </rPr>
      <t xml:space="preserve">M-1 </t>
    </r>
    <r>
      <rPr>
        <i val="true"/>
        <sz val="10"/>
        <color rgb="FF8A6D00"/>
        <rFont val="ヒラギノ角ゴシック"/>
        <family val="2"/>
      </rPr>
      <t xml:space="preserve">カメラで</t>
    </r>
    <r>
      <rPr>
        <i val="true"/>
        <sz val="10"/>
        <color rgb="FF8A6D00"/>
        <rFont val="Arial"/>
        <family val="0"/>
        <charset val="1"/>
      </rPr>
      <t xml:space="preserve">QR</t>
    </r>
    <r>
      <rPr>
        <i val="true"/>
        <sz val="10"/>
        <color rgb="FF8A6D00"/>
        <rFont val="ヒラギノ角ゴシック"/>
        <family val="2"/>
      </rPr>
      <t xml:space="preserve">読み取り</t>
    </r>
  </si>
  <si>
    <t xml:space="preserve">（記入例）カメラの許可を求める表示が出る</t>
  </si>
  <si>
    <t xml:space="preserve">ここに書いてある通りに試す</t>
  </si>
  <si>
    <t xml:space="preserve">許可を拒否すると「カメラを使えません」と出た。文言は分かりやすい</t>
  </si>
  <si>
    <t xml:space="preserve">2026-09-13</t>
  </si>
  <si>
    <r>
      <rPr>
        <sz val="11"/>
        <rFont val="Arial"/>
        <family val="0"/>
        <charset val="1"/>
      </rPr>
      <t xml:space="preserve">M-1 </t>
    </r>
    <r>
      <rPr>
        <sz val="11"/>
        <rFont val="ヒラギノ角ゴシック"/>
        <family val="2"/>
      </rPr>
      <t xml:space="preserve">カメラで</t>
    </r>
    <r>
      <rPr>
        <sz val="11"/>
        <rFont val="Arial"/>
        <family val="0"/>
        <charset val="1"/>
      </rPr>
      <t xml:space="preserve">QR</t>
    </r>
    <r>
      <rPr>
        <sz val="11"/>
        <rFont val="ヒラギノ角ゴシック"/>
        <family val="2"/>
      </rPr>
      <t xml:space="preserve">読み取り</t>
    </r>
  </si>
  <si>
    <t xml:space="preserve">カメラの許可を求める表示が出る</t>
  </si>
  <si>
    <r>
      <rPr>
        <sz val="11"/>
        <rFont val="ヒラギノ角ゴシック"/>
        <family val="2"/>
      </rPr>
      <t xml:space="preserve">出品者のマイページ→受け取った購入希望→「</t>
    </r>
    <r>
      <rPr>
        <sz val="11"/>
        <rFont val="Arial"/>
        <family val="0"/>
        <charset val="1"/>
      </rPr>
      <t xml:space="preserve">QR</t>
    </r>
    <r>
      <rPr>
        <sz val="11"/>
        <rFont val="ヒラギノ角ゴシック"/>
        <family val="2"/>
      </rPr>
      <t xml:space="preserve">を読み取って決済」。拒否したときに何が起きるか分かる文言が出るか</t>
    </r>
  </si>
  <si>
    <t xml:space="preserve">実際の明るさ・手ぶれで読み取れる</t>
  </si>
  <si>
    <r>
      <rPr>
        <sz val="11"/>
        <rFont val="ヒラギノ角ゴシック"/>
        <family val="2"/>
      </rPr>
      <t xml:space="preserve">受け渡しは屋内で立ち話。買い手の</t>
    </r>
    <r>
      <rPr>
        <sz val="11"/>
        <rFont val="Arial"/>
        <family val="0"/>
        <charset val="1"/>
      </rPr>
      <t xml:space="preserve">QR</t>
    </r>
    <r>
      <rPr>
        <sz val="11"/>
        <rFont val="ヒラギノ角ゴシック"/>
        <family val="2"/>
      </rPr>
      <t xml:space="preserve">を</t>
    </r>
    <r>
      <rPr>
        <sz val="11"/>
        <rFont val="Arial"/>
        <family val="0"/>
        <charset val="1"/>
      </rPr>
      <t xml:space="preserve">PC</t>
    </r>
    <r>
      <rPr>
        <sz val="11"/>
        <rFont val="ヒラギノ角ゴシック"/>
        <family val="2"/>
      </rPr>
      <t xml:space="preserve">画面に出し、スマホのカメラで読むと</t>
    </r>
    <r>
      <rPr>
        <sz val="11"/>
        <rFont val="Arial"/>
        <family val="0"/>
        <charset val="1"/>
      </rPr>
      <t xml:space="preserve">1</t>
    </r>
    <r>
      <rPr>
        <sz val="11"/>
        <rFont val="ヒラギノ角ゴシック"/>
        <family val="2"/>
      </rPr>
      <t xml:space="preserve">台＋</t>
    </r>
    <r>
      <rPr>
        <sz val="11"/>
        <rFont val="Arial"/>
        <family val="0"/>
        <charset val="1"/>
      </rPr>
      <t xml:space="preserve">PC</t>
    </r>
    <r>
      <rPr>
        <sz val="11"/>
        <rFont val="ヒラギノ角ゴシック"/>
        <family val="2"/>
      </rPr>
      <t xml:space="preserve">で試せる</t>
    </r>
  </si>
  <si>
    <t xml:space="preserve">読み取りから決済完了までの待ち時間</t>
  </si>
  <si>
    <t xml:space="preserve">相手を待たせて気まずくない長さか。体感で何秒かかったかを書く</t>
  </si>
  <si>
    <t xml:space="preserve">決済完了が双方の画面で分かる</t>
  </si>
  <si>
    <t xml:space="preserve">出品者側と買い手側の両方を見る</t>
  </si>
  <si>
    <t xml:space="preserve">推奨</t>
  </si>
  <si>
    <t xml:space="preserve">買い手の画面が自動で切り替わる</t>
  </si>
  <si>
    <r>
      <rPr>
        <sz val="11"/>
        <rFont val="Arial"/>
        <family val="0"/>
        <charset val="1"/>
      </rPr>
      <t xml:space="preserve">4</t>
    </r>
    <r>
      <rPr>
        <sz val="11"/>
        <rFont val="ヒラギノ角ゴシック"/>
        <family val="2"/>
      </rPr>
      <t xml:space="preserve">秒おきに見に行く作り。手で更新しなくても「決済が完了しています」に変わるか</t>
    </r>
  </si>
  <si>
    <r>
      <rPr>
        <sz val="11"/>
        <rFont val="Arial"/>
        <family val="0"/>
        <charset val="1"/>
      </rPr>
      <t xml:space="preserve">M-2 </t>
    </r>
    <r>
      <rPr>
        <sz val="11"/>
        <rFont val="ヒラギノ角ゴシック"/>
        <family val="2"/>
      </rPr>
      <t xml:space="preserve">カード入力と</t>
    </r>
    <r>
      <rPr>
        <sz val="11"/>
        <rFont val="Arial"/>
        <family val="0"/>
        <charset val="1"/>
      </rPr>
      <t xml:space="preserve">3DS</t>
    </r>
  </si>
  <si>
    <r>
      <rPr>
        <sz val="11"/>
        <rFont val="Arial"/>
        <family val="0"/>
        <charset val="1"/>
      </rPr>
      <t xml:space="preserve">4242 4242 4242 4242 </t>
    </r>
    <r>
      <rPr>
        <sz val="11"/>
        <rFont val="ヒラギノ角ゴシック"/>
        <family val="2"/>
      </rPr>
      <t xml:space="preserve">で登録できる</t>
    </r>
  </si>
  <si>
    <r>
      <rPr>
        <sz val="11"/>
        <rFont val="Arial"/>
        <family val="0"/>
        <charset val="1"/>
      </rPr>
      <t xml:space="preserve">/checkout/&lt;</t>
    </r>
    <r>
      <rPr>
        <sz val="11"/>
        <rFont val="ヒラギノ角ゴシック"/>
        <family val="2"/>
      </rPr>
      <t xml:space="preserve">予約</t>
    </r>
    <r>
      <rPr>
        <sz val="11"/>
        <rFont val="Arial"/>
        <family val="0"/>
        <charset val="1"/>
      </rPr>
      <t xml:space="preserve">ID&gt; </t>
    </r>
    <r>
      <rPr>
        <sz val="11"/>
        <rFont val="ヒラギノ角ゴシック"/>
        <family val="2"/>
      </rPr>
      <t xml:space="preserve">を開く。登録後に</t>
    </r>
    <r>
      <rPr>
        <sz val="11"/>
        <rFont val="Arial"/>
        <family val="0"/>
        <charset val="1"/>
      </rPr>
      <t xml:space="preserve">QR</t>
    </r>
    <r>
      <rPr>
        <sz val="11"/>
        <rFont val="ヒラギノ角ゴシック"/>
        <family val="2"/>
      </rPr>
      <t xml:space="preserve">が出ること</t>
    </r>
  </si>
  <si>
    <r>
      <rPr>
        <sz val="11"/>
        <rFont val="Arial"/>
        <family val="0"/>
        <charset val="1"/>
      </rPr>
      <t xml:space="preserve">4000 0025 0000 3155 </t>
    </r>
    <r>
      <rPr>
        <sz val="11"/>
        <rFont val="ヒラギノ角ゴシック"/>
        <family val="2"/>
      </rPr>
      <t xml:space="preserve">で本人確認が出る</t>
    </r>
  </si>
  <si>
    <t xml:space="preserve">通すと登録できること。途中でやめたときに日本語で分かる文言が出ること</t>
  </si>
  <si>
    <r>
      <rPr>
        <sz val="11"/>
        <rFont val="Arial"/>
        <family val="0"/>
        <charset val="1"/>
      </rPr>
      <t xml:space="preserve">4000 0000 0000 9995 </t>
    </r>
    <r>
      <rPr>
        <sz val="11"/>
        <rFont val="ヒラギノ角ゴシック"/>
        <family val="2"/>
      </rPr>
      <t xml:space="preserve">で残高不足の文言</t>
    </r>
  </si>
  <si>
    <t xml:space="preserve">「残高が足りません」に相当する日本語。コードや英語がそのまま出ていないこと</t>
  </si>
  <si>
    <r>
      <rPr>
        <sz val="11"/>
        <rFont val="Arial"/>
        <family val="0"/>
        <charset val="1"/>
      </rPr>
      <t xml:space="preserve">4100 0000 0000 0019 </t>
    </r>
    <r>
      <rPr>
        <sz val="11"/>
        <rFont val="ヒラギノ角ゴシック"/>
        <family val="2"/>
      </rPr>
      <t xml:space="preserve">でブロックの文言</t>
    </r>
  </si>
  <si>
    <t xml:space="preserve">ブロックされたことが日本語で伝わること</t>
  </si>
  <si>
    <t xml:space="preserve">どのカードでもエラー画面が出ない</t>
  </si>
  <si>
    <r>
      <rPr>
        <sz val="11"/>
        <rFont val="Arial"/>
        <family val="0"/>
        <charset val="1"/>
      </rPr>
      <t xml:space="preserve">500</t>
    </r>
    <r>
      <rPr>
        <sz val="11"/>
        <rFont val="ヒラギノ角ゴシック"/>
        <family val="2"/>
      </rPr>
      <t xml:space="preserve">エラーや</t>
    </r>
    <r>
      <rPr>
        <sz val="11"/>
        <rFont val="Arial"/>
        <family val="0"/>
        <charset val="1"/>
      </rPr>
      <t xml:space="preserve">Stripe</t>
    </r>
    <r>
      <rPr>
        <sz val="11"/>
        <rFont val="ヒラギノ角ゴシック"/>
        <family val="2"/>
      </rPr>
      <t xml:space="preserve">のエラーコードが画面にそのまま出ないこと</t>
    </r>
  </si>
  <si>
    <t xml:space="preserve">登録しただけでは請求されないと分かる</t>
  </si>
  <si>
    <r>
      <rPr>
        <sz val="11"/>
        <rFont val="ヒラギノ角ゴシック"/>
        <family val="2"/>
      </rPr>
      <t xml:space="preserve">カード登録画面に「</t>
    </r>
    <r>
      <rPr>
        <sz val="11"/>
        <rFont val="Arial"/>
        <family val="0"/>
        <charset val="1"/>
      </rPr>
      <t xml:space="preserve">QR</t>
    </r>
    <r>
      <rPr>
        <sz val="11"/>
        <rFont val="ヒラギノ角ゴシック"/>
        <family val="2"/>
      </rPr>
      <t xml:space="preserve">読み取りで決済」の説明が出ているか</t>
    </r>
  </si>
  <si>
    <r>
      <rPr>
        <sz val="11"/>
        <rFont val="Arial"/>
        <family val="0"/>
        <charset val="1"/>
      </rPr>
      <t xml:space="preserve">M-3 </t>
    </r>
    <r>
      <rPr>
        <sz val="11"/>
        <rFont val="ヒラギノ角ゴシック"/>
        <family val="2"/>
      </rPr>
      <t xml:space="preserve">メール通知</t>
    </r>
  </si>
  <si>
    <t xml:space="preserve">購入希望が届いたとき、出品者に届く</t>
  </si>
  <si>
    <r>
      <rPr>
        <sz val="11"/>
        <rFont val="Arial"/>
        <family val="0"/>
        <charset val="1"/>
      </rPr>
      <t xml:space="preserve">MAIL_REDIRECT_TO </t>
    </r>
    <r>
      <rPr>
        <sz val="11"/>
        <rFont val="ヒラギノ角ゴシック"/>
        <family val="2"/>
      </rPr>
      <t xml:space="preserve">を設定して </t>
    </r>
    <r>
      <rPr>
        <sz val="11"/>
        <rFont val="Arial"/>
        <family val="0"/>
        <charset val="1"/>
      </rPr>
      <t xml:space="preserve">npm run test:e2e </t>
    </r>
    <r>
      <rPr>
        <sz val="11"/>
        <rFont val="ヒラギノ角ゴシック"/>
        <family val="2"/>
      </rPr>
      <t xml:space="preserve">を流すと</t>
    </r>
    <r>
      <rPr>
        <sz val="11"/>
        <rFont val="Arial"/>
        <family val="0"/>
        <charset val="1"/>
      </rPr>
      <t xml:space="preserve">5</t>
    </r>
    <r>
      <rPr>
        <sz val="11"/>
        <rFont val="ヒラギノ角ゴシック"/>
        <family val="2"/>
      </rPr>
      <t xml:space="preserve">種類まとめて届く</t>
    </r>
  </si>
  <si>
    <t xml:space="preserve">日程が確定したとき、買い手に届く</t>
  </si>
  <si>
    <t xml:space="preserve">受け渡しの日時・場所が正しく入っているか</t>
  </si>
  <si>
    <t xml:space="preserve">別日程を提案したとき、買い手に届く</t>
  </si>
  <si>
    <t xml:space="preserve">提案された日時・場所が正しいか</t>
  </si>
  <si>
    <t xml:space="preserve">取りやめたとき、相手に届く</t>
  </si>
  <si>
    <t xml:space="preserve">誰が取りやめたかが分かるか</t>
  </si>
  <si>
    <t xml:space="preserve">決済完了が買い手と出品者の両方に届く</t>
  </si>
  <si>
    <r>
      <rPr>
        <sz val="11"/>
        <rFont val="Arial"/>
        <family val="0"/>
        <charset val="1"/>
      </rPr>
      <t xml:space="preserve">2</t>
    </r>
    <r>
      <rPr>
        <sz val="11"/>
        <rFont val="ヒラギノ角ゴシック"/>
        <family val="2"/>
      </rPr>
      <t xml:space="preserve">通とも届くこと</t>
    </r>
  </si>
  <si>
    <r>
      <rPr>
        <sz val="11"/>
        <rFont val="ヒラギノ角ゴシック"/>
        <family val="2"/>
      </rPr>
      <t xml:space="preserve">出品者宛の金額が </t>
    </r>
    <r>
      <rPr>
        <sz val="11"/>
        <rFont val="Arial"/>
        <family val="0"/>
        <charset val="1"/>
      </rPr>
      <t xml:space="preserve">Stripe </t>
    </r>
    <r>
      <rPr>
        <sz val="11"/>
        <rFont val="ヒラギノ角ゴシック"/>
        <family val="2"/>
      </rPr>
      <t xml:space="preserve">と一致する</t>
    </r>
  </si>
  <si>
    <r>
      <rPr>
        <sz val="11"/>
        <rFont val="ヒラギノ角ゴシック"/>
        <family val="2"/>
      </rPr>
      <t xml:space="preserve">販売価格 − 手数料 </t>
    </r>
    <r>
      <rPr>
        <sz val="11"/>
        <rFont val="Arial"/>
        <family val="0"/>
        <charset val="1"/>
      </rPr>
      <t xml:space="preserve">= </t>
    </r>
    <r>
      <rPr>
        <sz val="11"/>
        <rFont val="ヒラギノ角ゴシック"/>
        <family val="2"/>
      </rPr>
      <t xml:space="preserve">お受け取り額。</t>
    </r>
    <r>
      <rPr>
        <sz val="11"/>
        <rFont val="Arial"/>
        <family val="0"/>
        <charset val="1"/>
      </rPr>
      <t xml:space="preserve">Stripe</t>
    </r>
    <r>
      <rPr>
        <sz val="11"/>
        <rFont val="ヒラギノ角ゴシック"/>
        <family val="2"/>
      </rPr>
      <t xml:space="preserve">ダッシュボードの数字と突き合わせる</t>
    </r>
  </si>
  <si>
    <t xml:space="preserve">迷惑メールに入らない</t>
  </si>
  <si>
    <r>
      <rPr>
        <sz val="11"/>
        <rFont val="Arial"/>
        <family val="0"/>
        <charset val="1"/>
      </rPr>
      <t xml:space="preserve">npm run test:resend -- </t>
    </r>
    <r>
      <rPr>
        <sz val="11"/>
        <rFont val="ヒラギノ角ゴシック"/>
        <family val="2"/>
      </rPr>
      <t xml:space="preserve">自分のアドレス でも到達性を確認できる</t>
    </r>
  </si>
  <si>
    <t xml:space="preserve">スマホのメールアプリで崩れない</t>
  </si>
  <si>
    <t xml:space="preserve">文字が切れたり、ボタンが押せなかったりしないか</t>
  </si>
  <si>
    <r>
      <rPr>
        <sz val="11"/>
        <rFont val="Arial"/>
        <family val="0"/>
        <charset val="1"/>
      </rPr>
      <t xml:space="preserve">M-4 </t>
    </r>
    <r>
      <rPr>
        <sz val="11"/>
        <rFont val="ヒラギノ角ゴシック"/>
        <family val="2"/>
      </rPr>
      <t xml:space="preserve">入金先の登録（</t>
    </r>
    <r>
      <rPr>
        <sz val="11"/>
        <rFont val="Arial"/>
        <family val="0"/>
        <charset val="1"/>
      </rPr>
      <t xml:space="preserve">Connect</t>
    </r>
    <r>
      <rPr>
        <sz val="11"/>
        <rFont val="ヒラギノ角ゴシック"/>
        <family val="2"/>
      </rPr>
      <t xml:space="preserve">）</t>
    </r>
  </si>
  <si>
    <t xml:space="preserve">受取口座の登録が最後まで通る</t>
  </si>
  <si>
    <r>
      <rPr>
        <sz val="11"/>
        <rFont val="Arial"/>
        <family val="0"/>
        <charset val="1"/>
      </rPr>
      <t xml:space="preserve">/sell/connect →</t>
    </r>
    <r>
      <rPr>
        <sz val="11"/>
        <rFont val="ヒラギノ角ゴシック"/>
        <family val="2"/>
      </rPr>
      <t xml:space="preserve">「受取口座を登録する」。テストモードは自動入力のボタンが使える</t>
    </r>
  </si>
  <si>
    <t xml:space="preserve">途中でブラウザを閉じてもやり直せる</t>
  </si>
  <si>
    <r>
      <rPr>
        <sz val="11"/>
        <rFont val="ヒラギノ角ゴシック"/>
        <family val="2"/>
      </rPr>
      <t xml:space="preserve">中断してから </t>
    </r>
    <r>
      <rPr>
        <sz val="11"/>
        <rFont val="Arial"/>
        <family val="0"/>
        <charset val="1"/>
      </rPr>
      <t xml:space="preserve">/sell/connect </t>
    </r>
    <r>
      <rPr>
        <sz val="11"/>
        <rFont val="ヒラギノ角ゴシック"/>
        <family val="2"/>
      </rPr>
      <t xml:space="preserve">を開き直す</t>
    </r>
  </si>
  <si>
    <r>
      <rPr>
        <sz val="11"/>
        <rFont val="ヒラギノ角ゴシック"/>
        <family val="2"/>
      </rPr>
      <t xml:space="preserve">未登録の出品者には</t>
    </r>
    <r>
      <rPr>
        <sz val="11"/>
        <rFont val="Arial"/>
        <family val="0"/>
        <charset val="1"/>
      </rPr>
      <t xml:space="preserve">QR</t>
    </r>
    <r>
      <rPr>
        <sz val="11"/>
        <rFont val="ヒラギノ角ゴシック"/>
        <family val="2"/>
      </rPr>
      <t xml:space="preserve">が出ない</t>
    </r>
  </si>
  <si>
    <r>
      <rPr>
        <sz val="11"/>
        <rFont val="Arial"/>
        <family val="0"/>
        <charset val="1"/>
      </rPr>
      <t xml:space="preserve">suzuki </t>
    </r>
    <r>
      <rPr>
        <sz val="11"/>
        <rFont val="ヒラギノ角ゴシック"/>
        <family val="2"/>
      </rPr>
      <t xml:space="preserve">の出品に購入希望を出し、買い手側で</t>
    </r>
    <r>
      <rPr>
        <sz val="11"/>
        <rFont val="Arial"/>
        <family val="0"/>
        <charset val="1"/>
      </rPr>
      <t xml:space="preserve">QR</t>
    </r>
    <r>
      <rPr>
        <sz val="11"/>
        <rFont val="ヒラギノ角ゴシック"/>
        <family val="2"/>
      </rPr>
      <t xml:space="preserve">が出ないことを確認</t>
    </r>
  </si>
  <si>
    <r>
      <rPr>
        <sz val="11"/>
        <rFont val="ヒラギノ角ゴシック"/>
        <family val="2"/>
      </rPr>
      <t xml:space="preserve">「売上・入金を確認する」から </t>
    </r>
    <r>
      <rPr>
        <sz val="11"/>
        <rFont val="Arial"/>
        <family val="0"/>
        <charset val="1"/>
      </rPr>
      <t xml:space="preserve">Stripe </t>
    </r>
    <r>
      <rPr>
        <sz val="11"/>
        <rFont val="ヒラギノ角ゴシック"/>
        <family val="2"/>
      </rPr>
      <t xml:space="preserve">に入れる</t>
    </r>
  </si>
  <si>
    <t xml:space="preserve">出品者向けの画面が開くこと</t>
  </si>
  <si>
    <r>
      <rPr>
        <sz val="11"/>
        <rFont val="Arial"/>
        <family val="0"/>
        <charset val="1"/>
      </rPr>
      <t xml:space="preserve">M-5 </t>
    </r>
    <r>
      <rPr>
        <sz val="11"/>
        <rFont val="ヒラギノ角ゴシック"/>
        <family val="2"/>
      </rPr>
      <t xml:space="preserve">出品者への入金</t>
    </r>
  </si>
  <si>
    <t xml:space="preserve">残高と入金予定日が見える</t>
  </si>
  <si>
    <r>
      <rPr>
        <sz val="11"/>
        <rFont val="Arial"/>
        <family val="0"/>
        <charset val="1"/>
      </rPr>
      <t xml:space="preserve">Stripe</t>
    </r>
    <r>
      <rPr>
        <sz val="11"/>
        <rFont val="ヒラギノ角ゴシック"/>
        <family val="2"/>
      </rPr>
      <t xml:space="preserve">の出品者向けダッシュボード</t>
    </r>
  </si>
  <si>
    <t xml:space="preserve">入金サイクルが設定されている</t>
  </si>
  <si>
    <t xml:space="preserve">テストモードでは実際の着金は起きない。本番の初回着金は公開後に必ず実地で確認</t>
  </si>
  <si>
    <r>
      <rPr>
        <sz val="11"/>
        <rFont val="Arial"/>
        <family val="0"/>
        <charset val="1"/>
      </rPr>
      <t xml:space="preserve">M-6 </t>
    </r>
    <r>
      <rPr>
        <sz val="11"/>
        <rFont val="ヒラギノ角ゴシック"/>
        <family val="2"/>
      </rPr>
      <t xml:space="preserve">スマホでの見え方</t>
    </r>
  </si>
  <si>
    <r>
      <rPr>
        <sz val="11"/>
        <rFont val="Arial"/>
        <family val="0"/>
        <charset val="1"/>
      </rPr>
      <t xml:space="preserve">QR</t>
    </r>
    <r>
      <rPr>
        <sz val="11"/>
        <rFont val="ヒラギノ角ゴシック"/>
        <family val="2"/>
      </rPr>
      <t xml:space="preserve">が読める大きさで画面に収まる</t>
    </r>
  </si>
  <si>
    <t xml:space="preserve">実機で確認</t>
  </si>
  <si>
    <r>
      <rPr>
        <sz val="11"/>
        <rFont val="ヒラギノ角ゴシック"/>
        <family val="2"/>
      </rPr>
      <t xml:space="preserve">「</t>
    </r>
    <r>
      <rPr>
        <sz val="11"/>
        <rFont val="Arial"/>
        <family val="0"/>
        <charset val="1"/>
      </rPr>
      <t xml:space="preserve">QR</t>
    </r>
    <r>
      <rPr>
        <sz val="11"/>
        <rFont val="ヒラギノ角ゴシック"/>
        <family val="2"/>
      </rPr>
      <t xml:space="preserve">を読み取って決済」が押しやすい</t>
    </r>
  </si>
  <si>
    <t xml:space="preserve">片手で持って親指が届くか</t>
  </si>
  <si>
    <t xml:space="preserve">購入希望のモーダルがはみ出さない</t>
  </si>
  <si>
    <t xml:space="preserve">候補日の選択・場所・メッセージまでスクロールできるか</t>
  </si>
  <si>
    <t xml:space="preserve">電波が弱いときに二度押ししない</t>
  </si>
  <si>
    <t xml:space="preserve">押したあとボタンが無効になるか。機内モードのオンオフで試せる</t>
  </si>
  <si>
    <r>
      <rPr>
        <sz val="11"/>
        <rFont val="Arial"/>
        <family val="0"/>
        <charset val="1"/>
      </rPr>
      <t xml:space="preserve">M-7 </t>
    </r>
    <r>
      <rPr>
        <sz val="11"/>
        <rFont val="ヒラギノ角ゴシック"/>
        <family val="2"/>
      </rPr>
      <t xml:space="preserve">決済後の返金</t>
    </r>
  </si>
  <si>
    <t xml:space="preserve">買い手のカードへ返金される</t>
  </si>
  <si>
    <r>
      <rPr>
        <sz val="11"/>
        <rFont val="Arial"/>
        <family val="0"/>
        <charset val="1"/>
      </rPr>
      <t xml:space="preserve">node --env-file=.env.local scripts/stripe-refund.mjs &lt;</t>
    </r>
    <r>
      <rPr>
        <sz val="11"/>
        <rFont val="ヒラギノ角ゴシック"/>
        <family val="2"/>
      </rPr>
      <t xml:space="preserve">予約</t>
    </r>
    <r>
      <rPr>
        <sz val="11"/>
        <rFont val="Arial"/>
        <family val="0"/>
        <charset val="1"/>
      </rPr>
      <t xml:space="preserve">ID&gt;</t>
    </r>
    <r>
      <rPr>
        <sz val="11"/>
        <rFont val="ヒラギノ角ゴシック"/>
        <family val="2"/>
      </rPr>
      <t xml:space="preserve">（先に </t>
    </r>
    <r>
      <rPr>
        <sz val="11"/>
        <rFont val="Arial"/>
        <family val="0"/>
        <charset val="1"/>
      </rPr>
      <t xml:space="preserve">--dry-run</t>
    </r>
    <r>
      <rPr>
        <sz val="11"/>
        <rFont val="ヒラギノ角ゴシック"/>
        <family val="2"/>
      </rPr>
      <t xml:space="preserve">）</t>
    </r>
  </si>
  <si>
    <t xml:space="preserve">出品者の残高が減り、手数料も戻る</t>
  </si>
  <si>
    <r>
      <rPr>
        <sz val="11"/>
        <rFont val="Arial"/>
        <family val="0"/>
        <charset val="1"/>
      </rPr>
      <t xml:space="preserve">Stripe</t>
    </r>
    <r>
      <rPr>
        <sz val="11"/>
        <rFont val="ヒラギノ角ゴシック"/>
        <family val="2"/>
      </rPr>
      <t xml:space="preserve">ダッシュボードで確認</t>
    </r>
  </si>
  <si>
    <t xml:space="preserve">予約が「キャンセル」に戻る</t>
  </si>
  <si>
    <t xml:space="preserve">マイページで確認</t>
  </si>
  <si>
    <t xml:space="preserve">出品は「完了」のまま残る</t>
  </si>
  <si>
    <r>
      <rPr>
        <sz val="11"/>
        <rFont val="ヒラギノ角ゴシック"/>
        <family val="2"/>
      </rPr>
      <t xml:space="preserve">既知の不備（</t>
    </r>
    <r>
      <rPr>
        <sz val="11"/>
        <rFont val="Arial"/>
        <family val="0"/>
        <charset val="1"/>
      </rPr>
      <t xml:space="preserve">C-4</t>
    </r>
    <r>
      <rPr>
        <sz val="11"/>
        <rFont val="ヒラギノ角ゴシック"/>
        <family val="2"/>
      </rPr>
      <t xml:space="preserve">）。再出品は手作業になることの確認</t>
    </r>
  </si>
  <si>
    <r>
      <rPr>
        <sz val="11"/>
        <rFont val="Arial"/>
        <family val="0"/>
        <charset val="1"/>
      </rPr>
      <t xml:space="preserve">M-8 </t>
    </r>
    <r>
      <rPr>
        <sz val="11"/>
        <rFont val="ヒラギノ角ゴシック"/>
        <family val="2"/>
      </rPr>
      <t xml:space="preserve">在籍期限切れ</t>
    </r>
  </si>
  <si>
    <t xml:space="preserve">期限切れだと出品できない</t>
  </si>
  <si>
    <r>
      <rPr>
        <sz val="11"/>
        <rFont val="Arial"/>
        <family val="0"/>
        <charset val="1"/>
      </rPr>
      <t xml:space="preserve">profiles.enrollment_valid_until </t>
    </r>
    <r>
      <rPr>
        <sz val="11"/>
        <rFont val="ヒラギノ角ゴシック"/>
        <family val="2"/>
      </rPr>
      <t xml:space="preserve">を過去の日付にする。フォームの代わりに再認証の案内が出るか</t>
    </r>
  </si>
  <si>
    <t xml:space="preserve">期限切れだと購入希望が送れない</t>
  </si>
  <si>
    <t xml:space="preserve">同上</t>
  </si>
</sst>
</file>

<file path=xl/styles.xml><?xml version="1.0" encoding="utf-8"?>
<styleSheet xmlns="http://schemas.openxmlformats.org/spreadsheetml/2006/main">
  <numFmts count="1">
    <numFmt numFmtId="164" formatCode="General"/>
  </numFmts>
  <fonts count="19">
    <font>
      <sz val="11"/>
      <color theme="1"/>
      <name val="ヒラギノ角ゴシック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4314A"/>
      <name val="Arial"/>
      <family val="0"/>
      <charset val="1"/>
    </font>
    <font>
      <b val="true"/>
      <sz val="16"/>
      <color rgb="FF14314A"/>
      <name val="ヒラギノ角ゴシック"/>
      <family val="2"/>
    </font>
    <font>
      <sz val="11"/>
      <name val="ヒラギノ角ゴシック"/>
      <family val="2"/>
    </font>
    <font>
      <b val="true"/>
      <sz val="12"/>
      <color rgb="FF14314A"/>
      <name val="ヒラギノ角ゴシック"/>
      <family val="2"/>
    </font>
    <font>
      <b val="true"/>
      <sz val="11"/>
      <name val="ヒラギノ角ゴシック"/>
      <family val="2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ヒラギノ角ゴシック"/>
      <family val="2"/>
    </font>
    <font>
      <b val="true"/>
      <sz val="11"/>
      <color rgb="FFFFFFFF"/>
      <name val="Arial"/>
      <family val="0"/>
      <charset val="1"/>
    </font>
    <font>
      <b val="true"/>
      <sz val="12"/>
      <color rgb="FF14314A"/>
      <name val="Arial"/>
      <family val="0"/>
      <charset val="1"/>
    </font>
    <font>
      <b val="true"/>
      <sz val="11"/>
      <color rgb="FFFF5035"/>
      <name val="Arial"/>
      <family val="0"/>
      <charset val="1"/>
    </font>
    <font>
      <b val="true"/>
      <sz val="11"/>
      <color rgb="FFFF5035"/>
      <name val="ヒラギノ角ゴシック"/>
      <family val="2"/>
    </font>
    <font>
      <b val="true"/>
      <sz val="14"/>
      <color rgb="FF14314A"/>
      <name val="ヒラギノ角ゴシック"/>
      <family val="2"/>
    </font>
    <font>
      <i val="true"/>
      <sz val="10"/>
      <color rgb="FF8A6D00"/>
      <name val="ヒラギノ角ゴシック"/>
      <family val="2"/>
    </font>
    <font>
      <i val="true"/>
      <sz val="10"/>
      <color rgb="FF8A6D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4314A"/>
        <bgColor rgb="FF333333"/>
      </patternFill>
    </fill>
    <fill>
      <patternFill patternType="solid">
        <fgColor rgb="FFFFF9E6"/>
        <bgColor rgb="FFFFFFFF"/>
      </patternFill>
    </fill>
    <fill>
      <patternFill patternType="solid">
        <fgColor rgb="FFFFFFFF"/>
        <bgColor rgb="FFFFF9E6"/>
      </patternFill>
    </fill>
    <fill>
      <patternFill patternType="solid">
        <fgColor rgb="FFEEF2F6"/>
        <bgColor rgb="FFFFF9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D2DC"/>
      </left>
      <right style="thin">
        <color rgb="FFC8D2DC"/>
      </right>
      <top style="thin">
        <color rgb="FFC8D2DC"/>
      </top>
      <bottom style="thin">
        <color rgb="FFC8D2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4314A"/>
          <bgColor rgb="FF000000"/>
        </patternFill>
      </fill>
    </dxf>
    <dxf>
      <fill>
        <patternFill patternType="solid">
          <fgColor rgb="FFEEF2F6"/>
          <bgColor rgb="FF000000"/>
        </patternFill>
      </fill>
    </dxf>
    <dxf>
      <fill>
        <patternFill patternType="solid">
          <fgColor rgb="FFFFF9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A6D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5035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D00"/>
      <rgbColor rgb="FF800080"/>
      <rgbColor rgb="FF008080"/>
      <rgbColor rgb="FFC0C0C0"/>
      <rgbColor rgb="FF808080"/>
      <rgbColor rgb="FF9999FF"/>
      <rgbColor rgb="FF993366"/>
      <rgbColor rgb="FFFFF9E6"/>
      <rgbColor rgb="FFEEF2F6"/>
      <rgbColor rgb="FF660066"/>
      <rgbColor rgb="FFFF8080"/>
      <rgbColor rgb="FF0066CC"/>
      <rgbColor rgb="FFC8D2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5035"/>
      <rgbColor rgb="FF666699"/>
      <rgbColor rgb="FF969696"/>
      <rgbColor rgb="FF14314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6.64453125" defaultRowHeight="15" customHeight="false" zeroHeight="false" outlineLevelRow="0" outlineLevelCol="0"/>
  <cols>
    <col collapsed="false" customWidth="true" hidden="false" outlineLevel="0" max="1" min="1" style="0" width="19.91"/>
    <col collapsed="false" customWidth="true" hidden="false" outlineLevel="0" max="2" min="2" style="0" width="35.21"/>
    <col collapsed="false" customWidth="true" hidden="false" outlineLevel="0" max="3" min="3" style="0" width="22.97"/>
    <col collapsed="false" customWidth="true" hidden="false" outlineLevel="0" max="4" min="4" style="0" width="35.21"/>
  </cols>
  <sheetData>
    <row r="1" customFormat="false" ht="18.65" hidden="false" customHeight="false" outlineLevel="0" collapsed="false">
      <c r="A1" s="1" t="s">
        <v>0</v>
      </c>
    </row>
    <row r="2" customFormat="false" ht="46.2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25.35" hidden="false" customHeight="false" outlineLevel="0" collapsed="false">
      <c r="A5" s="4" t="s">
        <v>3</v>
      </c>
      <c r="B5" s="2" t="s">
        <v>4</v>
      </c>
    </row>
    <row r="6" customFormat="false" ht="25.35" hidden="false" customHeight="false" outlineLevel="0" collapsed="false">
      <c r="A6" s="4" t="s">
        <v>5</v>
      </c>
      <c r="B6" s="5" t="s">
        <v>6</v>
      </c>
    </row>
    <row r="7" customFormat="false" ht="15" hidden="false" customHeight="false" outlineLevel="0" collapsed="false">
      <c r="A7" s="4" t="s">
        <v>7</v>
      </c>
      <c r="B7" s="2" t="s">
        <v>8</v>
      </c>
    </row>
    <row r="9" customFormat="false" ht="15" hidden="false" customHeight="false" outlineLevel="0" collapsed="false">
      <c r="A9" s="3" t="s">
        <v>9</v>
      </c>
    </row>
    <row r="10" customFormat="false" ht="15" hidden="false" customHeight="false" outlineLevel="0" collapsed="false">
      <c r="A10" s="6" t="s">
        <v>10</v>
      </c>
      <c r="B10" s="7" t="n">
        <f aca="false">COUNTA(テスト項目!C5:C100)</f>
        <v>35</v>
      </c>
    </row>
    <row r="11" customFormat="false" ht="15" hidden="false" customHeight="false" outlineLevel="0" collapsed="false">
      <c r="A11" s="8" t="s">
        <v>11</v>
      </c>
      <c r="B11" s="7" t="n">
        <f aca="false">COUNTIF(テスト項目!F5:F100,"OK")</f>
        <v>0</v>
      </c>
    </row>
    <row r="12" customFormat="false" ht="15" hidden="false" customHeight="false" outlineLevel="0" collapsed="false">
      <c r="A12" s="8" t="s">
        <v>12</v>
      </c>
      <c r="B12" s="7" t="n">
        <f aca="false">COUNTIF(テスト項目!F5:F100,"NG")</f>
        <v>0</v>
      </c>
    </row>
    <row r="13" customFormat="false" ht="15" hidden="false" customHeight="false" outlineLevel="0" collapsed="false">
      <c r="A13" s="6" t="s">
        <v>13</v>
      </c>
      <c r="B13" s="7" t="n">
        <f aca="false">COUNTIF(テスト項目!F5:F100,"未実施")</f>
        <v>35</v>
      </c>
    </row>
    <row r="14" customFormat="false" ht="15" hidden="false" customHeight="false" outlineLevel="0" collapsed="false">
      <c r="A14" s="6" t="s">
        <v>14</v>
      </c>
      <c r="B14" s="7" t="n">
        <f aca="false">COUNTIFS(テスト項目!B5:B100,"必須",テスト項目!F5:F100,"未実施")</f>
        <v>23</v>
      </c>
    </row>
    <row r="16" customFormat="false" ht="15" hidden="false" customHeight="false" outlineLevel="0" collapsed="false">
      <c r="A16" s="3" t="s">
        <v>15</v>
      </c>
    </row>
    <row r="17" customFormat="false" ht="38.05" hidden="false" customHeight="false" outlineLevel="0" collapsed="false">
      <c r="A17" s="2" t="s">
        <v>16</v>
      </c>
    </row>
    <row r="18" customFormat="false" ht="15" hidden="false" customHeight="false" outlineLevel="0" collapsed="false">
      <c r="A18" s="9" t="s">
        <v>17</v>
      </c>
      <c r="B18" s="9" t="s">
        <v>18</v>
      </c>
      <c r="C18" s="9" t="s">
        <v>19</v>
      </c>
      <c r="D18" s="9" t="s">
        <v>20</v>
      </c>
    </row>
    <row r="19" customFormat="false" ht="15" hidden="false" customHeight="false" outlineLevel="0" collapsed="false">
      <c r="A19" s="10" t="s">
        <v>21</v>
      </c>
      <c r="B19" s="11" t="s">
        <v>22</v>
      </c>
      <c r="C19" s="10" t="s">
        <v>23</v>
      </c>
      <c r="D19" s="11" t="s">
        <v>24</v>
      </c>
    </row>
    <row r="20" customFormat="false" ht="23.85" hidden="false" customHeight="false" outlineLevel="0" collapsed="false">
      <c r="A20" s="10" t="s">
        <v>25</v>
      </c>
      <c r="B20" s="11" t="s">
        <v>26</v>
      </c>
      <c r="C20" s="10" t="s">
        <v>27</v>
      </c>
      <c r="D20" s="10" t="s">
        <v>28</v>
      </c>
    </row>
    <row r="21" customFormat="false" ht="15" hidden="false" customHeight="false" outlineLevel="0" collapsed="false">
      <c r="A21" s="10" t="s">
        <v>29</v>
      </c>
      <c r="B21" s="11" t="s">
        <v>30</v>
      </c>
      <c r="C21" s="10" t="s">
        <v>31</v>
      </c>
      <c r="D21" s="10" t="s">
        <v>32</v>
      </c>
    </row>
    <row r="23" customFormat="false" ht="15" hidden="false" customHeight="false" outlineLevel="0" collapsed="false">
      <c r="A23" s="3" t="s">
        <v>33</v>
      </c>
    </row>
    <row r="24" customFormat="false" ht="15" hidden="false" customHeight="false" outlineLevel="0" collapsed="false">
      <c r="A24" s="9" t="s">
        <v>34</v>
      </c>
      <c r="B24" s="9" t="s">
        <v>35</v>
      </c>
    </row>
    <row r="25" customFormat="false" ht="15" hidden="false" customHeight="false" outlineLevel="0" collapsed="false">
      <c r="A25" s="11" t="s">
        <v>36</v>
      </c>
      <c r="B25" s="10" t="s">
        <v>37</v>
      </c>
    </row>
    <row r="26" customFormat="false" ht="15" hidden="false" customHeight="false" outlineLevel="0" collapsed="false">
      <c r="A26" s="11" t="s">
        <v>38</v>
      </c>
      <c r="B26" s="10" t="s">
        <v>39</v>
      </c>
    </row>
    <row r="27" customFormat="false" ht="15" hidden="false" customHeight="false" outlineLevel="0" collapsed="false">
      <c r="A27" s="11" t="s">
        <v>40</v>
      </c>
      <c r="B27" s="10" t="s">
        <v>41</v>
      </c>
    </row>
    <row r="28" customFormat="false" ht="15" hidden="false" customHeight="false" outlineLevel="0" collapsed="false">
      <c r="A28" s="11" t="s">
        <v>42</v>
      </c>
      <c r="B28" s="11" t="s">
        <v>43</v>
      </c>
    </row>
    <row r="29" customFormat="false" ht="38.05" hidden="false" customHeight="false" outlineLevel="0" collapsed="false">
      <c r="A29" s="2" t="s">
        <v>44</v>
      </c>
    </row>
    <row r="31" customFormat="false" ht="15" hidden="false" customHeight="false" outlineLevel="0" collapsed="false">
      <c r="A31" s="3" t="s">
        <v>45</v>
      </c>
    </row>
    <row r="32" customFormat="false" ht="38.05" hidden="false" customHeight="false" outlineLevel="0" collapsed="false">
      <c r="A32" s="5" t="s">
        <v>46</v>
      </c>
    </row>
    <row r="33" customFormat="false" ht="39.55" hidden="false" customHeight="false" outlineLevel="0" collapsed="false">
      <c r="A33" s="5" t="s">
        <v>47</v>
      </c>
    </row>
    <row r="34" customFormat="false" ht="49.25" hidden="false" customHeight="false" outlineLevel="0" collapsed="false">
      <c r="A34" s="5" t="s">
        <v>48</v>
      </c>
    </row>
    <row r="35" customFormat="false" ht="25.35" hidden="false" customHeight="false" outlineLevel="0" collapsed="false">
      <c r="A35" s="5" t="s">
        <v>49</v>
      </c>
    </row>
    <row r="36" customFormat="false" ht="39.55" hidden="false" customHeight="false" outlineLevel="0" collapsed="false">
      <c r="A36" s="5" t="s">
        <v>50</v>
      </c>
    </row>
    <row r="37" customFormat="false" ht="36.55" hidden="false" customHeight="false" outlineLevel="0" collapsed="false">
      <c r="A37" s="2" t="s">
        <v>51</v>
      </c>
    </row>
    <row r="38" customFormat="false" ht="49.25" hidden="false" customHeight="false" outlineLevel="0" collapsed="false">
      <c r="A38" s="12" t="s">
        <v>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6.64453125" defaultRowHeight="15" customHeight="false" zeroHeight="false" outlineLevelRow="0" outlineLevelCol="0"/>
  <cols>
    <col collapsed="false" customWidth="true" hidden="false" outlineLevel="0" max="1" min="1" style="0" width="3.83"/>
    <col collapsed="false" customWidth="true" hidden="false" outlineLevel="0" max="2" min="2" style="0" width="5.36"/>
    <col collapsed="false" customWidth="true" hidden="false" outlineLevel="0" max="3" min="3" style="0" width="16.84"/>
    <col collapsed="false" customWidth="true" hidden="false" outlineLevel="0" max="4" min="4" style="0" width="26.03"/>
    <col collapsed="false" customWidth="true" hidden="false" outlineLevel="0" max="5" min="5" style="0" width="44.4"/>
    <col collapsed="false" customWidth="true" hidden="false" outlineLevel="0" max="6" min="6" style="0" width="7.66"/>
    <col collapsed="false" customWidth="true" hidden="false" outlineLevel="0" max="7" min="7" style="0" width="30.62"/>
    <col collapsed="false" customWidth="true" hidden="false" outlineLevel="0" max="8" min="8" style="0" width="9.19"/>
  </cols>
  <sheetData>
    <row r="1" customFormat="false" ht="17.35" hidden="false" customHeight="false" outlineLevel="0" collapsed="false">
      <c r="A1" s="13" t="s">
        <v>53</v>
      </c>
    </row>
    <row r="2" customFormat="false" ht="169.4" hidden="false" customHeight="false" outlineLevel="0" collapsed="false">
      <c r="A2" s="2" t="s">
        <v>54</v>
      </c>
    </row>
    <row r="3" customFormat="false" ht="24" hidden="false" customHeight="true" outlineLevel="0" collapsed="false">
      <c r="A3" s="14" t="s">
        <v>55</v>
      </c>
      <c r="B3" s="15" t="s">
        <v>56</v>
      </c>
      <c r="C3" s="15" t="s">
        <v>57</v>
      </c>
      <c r="D3" s="15" t="s">
        <v>58</v>
      </c>
      <c r="E3" s="15" t="s">
        <v>59</v>
      </c>
      <c r="F3" s="15" t="s">
        <v>3</v>
      </c>
      <c r="G3" s="15" t="s">
        <v>5</v>
      </c>
      <c r="H3" s="15" t="s">
        <v>7</v>
      </c>
    </row>
    <row r="4" customFormat="false" ht="30" hidden="false" customHeight="true" outlineLevel="0" collapsed="false">
      <c r="A4" s="16" t="s">
        <v>60</v>
      </c>
      <c r="B4" s="16" t="s">
        <v>56</v>
      </c>
      <c r="C4" s="17" t="s">
        <v>61</v>
      </c>
      <c r="D4" s="16" t="s">
        <v>62</v>
      </c>
      <c r="E4" s="16" t="s">
        <v>63</v>
      </c>
      <c r="F4" s="17" t="s">
        <v>11</v>
      </c>
      <c r="G4" s="16" t="s">
        <v>64</v>
      </c>
      <c r="H4" s="17" t="s">
        <v>65</v>
      </c>
    </row>
    <row r="5" customFormat="false" ht="33.75" hidden="false" customHeight="true" outlineLevel="0" collapsed="false">
      <c r="A5" s="18" t="n">
        <v>1</v>
      </c>
      <c r="B5" s="19" t="s">
        <v>56</v>
      </c>
      <c r="C5" s="11" t="s">
        <v>66</v>
      </c>
      <c r="D5" s="10" t="s">
        <v>67</v>
      </c>
      <c r="E5" s="10" t="s">
        <v>68</v>
      </c>
      <c r="F5" s="20" t="s">
        <v>13</v>
      </c>
      <c r="G5" s="21"/>
      <c r="H5" s="21"/>
    </row>
    <row r="6" customFormat="false" ht="33.75" hidden="false" customHeight="true" outlineLevel="0" collapsed="false">
      <c r="A6" s="22" t="n">
        <v>2</v>
      </c>
      <c r="B6" s="23" t="s">
        <v>56</v>
      </c>
      <c r="C6" s="24" t="s">
        <v>66</v>
      </c>
      <c r="D6" s="25" t="s">
        <v>69</v>
      </c>
      <c r="E6" s="25" t="s">
        <v>70</v>
      </c>
      <c r="F6" s="20" t="s">
        <v>13</v>
      </c>
      <c r="G6" s="25"/>
      <c r="H6" s="25"/>
    </row>
    <row r="7" customFormat="false" ht="33.75" hidden="false" customHeight="true" outlineLevel="0" collapsed="false">
      <c r="A7" s="18" t="n">
        <v>3</v>
      </c>
      <c r="B7" s="19" t="s">
        <v>56</v>
      </c>
      <c r="C7" s="11" t="s">
        <v>66</v>
      </c>
      <c r="D7" s="10" t="s">
        <v>71</v>
      </c>
      <c r="E7" s="10" t="s">
        <v>72</v>
      </c>
      <c r="F7" s="20" t="s">
        <v>13</v>
      </c>
      <c r="G7" s="21"/>
      <c r="H7" s="21"/>
    </row>
    <row r="8" customFormat="false" ht="33.75" hidden="false" customHeight="true" outlineLevel="0" collapsed="false">
      <c r="A8" s="22" t="n">
        <v>4</v>
      </c>
      <c r="B8" s="23" t="s">
        <v>56</v>
      </c>
      <c r="C8" s="24" t="s">
        <v>66</v>
      </c>
      <c r="D8" s="25" t="s">
        <v>73</v>
      </c>
      <c r="E8" s="25" t="s">
        <v>74</v>
      </c>
      <c r="F8" s="20" t="s">
        <v>13</v>
      </c>
      <c r="G8" s="25"/>
      <c r="H8" s="25"/>
    </row>
    <row r="9" customFormat="false" ht="33.75" hidden="false" customHeight="true" outlineLevel="0" collapsed="false">
      <c r="A9" s="18" t="n">
        <v>5</v>
      </c>
      <c r="B9" s="26" t="s">
        <v>75</v>
      </c>
      <c r="C9" s="11" t="s">
        <v>66</v>
      </c>
      <c r="D9" s="10" t="s">
        <v>76</v>
      </c>
      <c r="E9" s="11" t="s">
        <v>77</v>
      </c>
      <c r="F9" s="20" t="s">
        <v>13</v>
      </c>
      <c r="G9" s="21"/>
      <c r="H9" s="21"/>
    </row>
    <row r="10" customFormat="false" ht="33.75" hidden="false" customHeight="true" outlineLevel="0" collapsed="false">
      <c r="A10" s="22" t="n">
        <v>6</v>
      </c>
      <c r="B10" s="23" t="s">
        <v>56</v>
      </c>
      <c r="C10" s="24" t="s">
        <v>78</v>
      </c>
      <c r="D10" s="24" t="s">
        <v>79</v>
      </c>
      <c r="E10" s="24" t="s">
        <v>80</v>
      </c>
      <c r="F10" s="20" t="s">
        <v>13</v>
      </c>
      <c r="G10" s="25"/>
      <c r="H10" s="25"/>
    </row>
    <row r="11" customFormat="false" ht="33.75" hidden="false" customHeight="true" outlineLevel="0" collapsed="false">
      <c r="A11" s="26" t="n">
        <v>7</v>
      </c>
      <c r="B11" s="19" t="s">
        <v>56</v>
      </c>
      <c r="C11" s="11" t="s">
        <v>78</v>
      </c>
      <c r="D11" s="11" t="s">
        <v>81</v>
      </c>
      <c r="E11" s="10" t="s">
        <v>82</v>
      </c>
      <c r="F11" s="20" t="s">
        <v>13</v>
      </c>
      <c r="G11" s="21"/>
      <c r="H11" s="21"/>
    </row>
    <row r="12" customFormat="false" ht="33.75" hidden="false" customHeight="true" outlineLevel="0" collapsed="false">
      <c r="A12" s="22" t="n">
        <v>8</v>
      </c>
      <c r="B12" s="23" t="s">
        <v>56</v>
      </c>
      <c r="C12" s="24" t="s">
        <v>78</v>
      </c>
      <c r="D12" s="24" t="s">
        <v>83</v>
      </c>
      <c r="E12" s="25" t="s">
        <v>84</v>
      </c>
      <c r="F12" s="20" t="s">
        <v>13</v>
      </c>
      <c r="G12" s="25"/>
      <c r="H12" s="25"/>
    </row>
    <row r="13" customFormat="false" ht="33.75" hidden="false" customHeight="true" outlineLevel="0" collapsed="false">
      <c r="A13" s="26" t="n">
        <v>9</v>
      </c>
      <c r="B13" s="26" t="s">
        <v>75</v>
      </c>
      <c r="C13" s="11" t="s">
        <v>78</v>
      </c>
      <c r="D13" s="11" t="s">
        <v>85</v>
      </c>
      <c r="E13" s="10" t="s">
        <v>86</v>
      </c>
      <c r="F13" s="20" t="s">
        <v>13</v>
      </c>
      <c r="G13" s="21"/>
      <c r="H13" s="21"/>
    </row>
    <row r="14" customFormat="false" ht="33.75" hidden="false" customHeight="true" outlineLevel="0" collapsed="false">
      <c r="A14" s="22" t="n">
        <v>10</v>
      </c>
      <c r="B14" s="23" t="s">
        <v>56</v>
      </c>
      <c r="C14" s="24" t="s">
        <v>78</v>
      </c>
      <c r="D14" s="25" t="s">
        <v>87</v>
      </c>
      <c r="E14" s="24" t="s">
        <v>88</v>
      </c>
      <c r="F14" s="20" t="s">
        <v>13</v>
      </c>
      <c r="G14" s="25"/>
      <c r="H14" s="25"/>
    </row>
    <row r="15" customFormat="false" ht="33.75" hidden="false" customHeight="true" outlineLevel="0" collapsed="false">
      <c r="A15" s="26" t="n">
        <v>11</v>
      </c>
      <c r="B15" s="19" t="s">
        <v>56</v>
      </c>
      <c r="C15" s="11" t="s">
        <v>78</v>
      </c>
      <c r="D15" s="10" t="s">
        <v>89</v>
      </c>
      <c r="E15" s="10" t="s">
        <v>90</v>
      </c>
      <c r="F15" s="20" t="s">
        <v>13</v>
      </c>
      <c r="G15" s="21"/>
      <c r="H15" s="21"/>
    </row>
    <row r="16" customFormat="false" ht="33.75" hidden="false" customHeight="true" outlineLevel="0" collapsed="false">
      <c r="A16" s="22" t="n">
        <v>12</v>
      </c>
      <c r="B16" s="23" t="s">
        <v>56</v>
      </c>
      <c r="C16" s="24" t="s">
        <v>91</v>
      </c>
      <c r="D16" s="25" t="s">
        <v>92</v>
      </c>
      <c r="E16" s="24" t="s">
        <v>93</v>
      </c>
      <c r="F16" s="20" t="s">
        <v>13</v>
      </c>
      <c r="G16" s="25"/>
      <c r="H16" s="25"/>
    </row>
    <row r="17" customFormat="false" ht="33.75" hidden="false" customHeight="true" outlineLevel="0" collapsed="false">
      <c r="A17" s="26" t="n">
        <v>13</v>
      </c>
      <c r="B17" s="19" t="s">
        <v>56</v>
      </c>
      <c r="C17" s="11" t="s">
        <v>91</v>
      </c>
      <c r="D17" s="10" t="s">
        <v>94</v>
      </c>
      <c r="E17" s="10" t="s">
        <v>95</v>
      </c>
      <c r="F17" s="20" t="s">
        <v>13</v>
      </c>
      <c r="G17" s="21"/>
      <c r="H17" s="21"/>
    </row>
    <row r="18" customFormat="false" ht="33.75" hidden="false" customHeight="true" outlineLevel="0" collapsed="false">
      <c r="A18" s="22" t="n">
        <v>14</v>
      </c>
      <c r="B18" s="27" t="s">
        <v>75</v>
      </c>
      <c r="C18" s="24" t="s">
        <v>91</v>
      </c>
      <c r="D18" s="25" t="s">
        <v>96</v>
      </c>
      <c r="E18" s="25" t="s">
        <v>97</v>
      </c>
      <c r="F18" s="20" t="s">
        <v>13</v>
      </c>
      <c r="G18" s="25"/>
      <c r="H18" s="25"/>
    </row>
    <row r="19" customFormat="false" ht="33.75" hidden="false" customHeight="true" outlineLevel="0" collapsed="false">
      <c r="A19" s="26" t="n">
        <v>15</v>
      </c>
      <c r="B19" s="26" t="s">
        <v>75</v>
      </c>
      <c r="C19" s="11" t="s">
        <v>91</v>
      </c>
      <c r="D19" s="10" t="s">
        <v>98</v>
      </c>
      <c r="E19" s="10" t="s">
        <v>99</v>
      </c>
      <c r="F19" s="20" t="s">
        <v>13</v>
      </c>
      <c r="G19" s="21"/>
      <c r="H19" s="21"/>
    </row>
    <row r="20" customFormat="false" ht="33.75" hidden="false" customHeight="true" outlineLevel="0" collapsed="false">
      <c r="A20" s="27" t="n">
        <v>16</v>
      </c>
      <c r="B20" s="23" t="s">
        <v>56</v>
      </c>
      <c r="C20" s="24" t="s">
        <v>91</v>
      </c>
      <c r="D20" s="25" t="s">
        <v>100</v>
      </c>
      <c r="E20" s="24" t="s">
        <v>101</v>
      </c>
      <c r="F20" s="20" t="s">
        <v>13</v>
      </c>
      <c r="G20" s="25"/>
      <c r="H20" s="25"/>
    </row>
    <row r="21" customFormat="false" ht="33.75" hidden="false" customHeight="true" outlineLevel="0" collapsed="false">
      <c r="A21" s="26" t="n">
        <v>17</v>
      </c>
      <c r="B21" s="19" t="s">
        <v>56</v>
      </c>
      <c r="C21" s="11" t="s">
        <v>91</v>
      </c>
      <c r="D21" s="10" t="s">
        <v>102</v>
      </c>
      <c r="E21" s="10" t="s">
        <v>103</v>
      </c>
      <c r="F21" s="20" t="s">
        <v>13</v>
      </c>
      <c r="G21" s="21"/>
      <c r="H21" s="21"/>
    </row>
    <row r="22" customFormat="false" ht="33.75" hidden="false" customHeight="true" outlineLevel="0" collapsed="false">
      <c r="A22" s="27" t="n">
        <v>18</v>
      </c>
      <c r="B22" s="23" t="s">
        <v>56</v>
      </c>
      <c r="C22" s="24" t="s">
        <v>91</v>
      </c>
      <c r="D22" s="25" t="s">
        <v>104</v>
      </c>
      <c r="E22" s="24" t="s">
        <v>105</v>
      </c>
      <c r="F22" s="20" t="s">
        <v>13</v>
      </c>
      <c r="G22" s="25"/>
      <c r="H22" s="25"/>
    </row>
    <row r="23" customFormat="false" ht="33.75" hidden="false" customHeight="true" outlineLevel="0" collapsed="false">
      <c r="A23" s="26" t="n">
        <v>19</v>
      </c>
      <c r="B23" s="19" t="s">
        <v>56</v>
      </c>
      <c r="C23" s="11" t="s">
        <v>91</v>
      </c>
      <c r="D23" s="10" t="s">
        <v>106</v>
      </c>
      <c r="E23" s="10" t="s">
        <v>107</v>
      </c>
      <c r="F23" s="20" t="s">
        <v>13</v>
      </c>
      <c r="G23" s="21"/>
      <c r="H23" s="21"/>
    </row>
    <row r="24" customFormat="false" ht="33.75" hidden="false" customHeight="true" outlineLevel="0" collapsed="false">
      <c r="A24" s="27" t="n">
        <v>20</v>
      </c>
      <c r="B24" s="23" t="s">
        <v>56</v>
      </c>
      <c r="C24" s="24" t="s">
        <v>108</v>
      </c>
      <c r="D24" s="25" t="s">
        <v>109</v>
      </c>
      <c r="E24" s="24" t="s">
        <v>110</v>
      </c>
      <c r="F24" s="20" t="s">
        <v>13</v>
      </c>
      <c r="G24" s="25"/>
      <c r="H24" s="25"/>
    </row>
    <row r="25" customFormat="false" ht="33.75" hidden="false" customHeight="true" outlineLevel="0" collapsed="false">
      <c r="A25" s="26" t="n">
        <v>21</v>
      </c>
      <c r="B25" s="19" t="s">
        <v>56</v>
      </c>
      <c r="C25" s="11" t="s">
        <v>108</v>
      </c>
      <c r="D25" s="10" t="s">
        <v>111</v>
      </c>
      <c r="E25" s="10" t="s">
        <v>112</v>
      </c>
      <c r="F25" s="20" t="s">
        <v>13</v>
      </c>
      <c r="G25" s="21"/>
      <c r="H25" s="21"/>
    </row>
    <row r="26" customFormat="false" ht="33.75" hidden="false" customHeight="true" outlineLevel="0" collapsed="false">
      <c r="A26" s="27" t="n">
        <v>22</v>
      </c>
      <c r="B26" s="23" t="s">
        <v>56</v>
      </c>
      <c r="C26" s="24" t="s">
        <v>108</v>
      </c>
      <c r="D26" s="25" t="s">
        <v>113</v>
      </c>
      <c r="E26" s="24" t="s">
        <v>114</v>
      </c>
      <c r="F26" s="20" t="s">
        <v>13</v>
      </c>
      <c r="G26" s="25"/>
      <c r="H26" s="25"/>
    </row>
    <row r="27" customFormat="false" ht="33.75" hidden="false" customHeight="true" outlineLevel="0" collapsed="false">
      <c r="A27" s="26" t="n">
        <v>23</v>
      </c>
      <c r="B27" s="26" t="s">
        <v>75</v>
      </c>
      <c r="C27" s="11" t="s">
        <v>108</v>
      </c>
      <c r="D27" s="10" t="s">
        <v>115</v>
      </c>
      <c r="E27" s="10" t="s">
        <v>116</v>
      </c>
      <c r="F27" s="20" t="s">
        <v>13</v>
      </c>
      <c r="G27" s="21"/>
      <c r="H27" s="21"/>
    </row>
    <row r="28" customFormat="false" ht="33.75" hidden="false" customHeight="true" outlineLevel="0" collapsed="false">
      <c r="A28" s="27" t="n">
        <v>24</v>
      </c>
      <c r="B28" s="27" t="s">
        <v>75</v>
      </c>
      <c r="C28" s="24" t="s">
        <v>117</v>
      </c>
      <c r="D28" s="25" t="s">
        <v>118</v>
      </c>
      <c r="E28" s="24" t="s">
        <v>119</v>
      </c>
      <c r="F28" s="20" t="s">
        <v>13</v>
      </c>
      <c r="G28" s="25"/>
      <c r="H28" s="25"/>
    </row>
    <row r="29" customFormat="false" ht="33.75" hidden="false" customHeight="true" outlineLevel="0" collapsed="false">
      <c r="A29" s="26" t="n">
        <v>25</v>
      </c>
      <c r="B29" s="26" t="s">
        <v>75</v>
      </c>
      <c r="C29" s="11" t="s">
        <v>117</v>
      </c>
      <c r="D29" s="10" t="s">
        <v>120</v>
      </c>
      <c r="E29" s="10" t="s">
        <v>121</v>
      </c>
      <c r="F29" s="20" t="s">
        <v>13</v>
      </c>
      <c r="G29" s="21"/>
      <c r="H29" s="21"/>
    </row>
    <row r="30" customFormat="false" ht="33.75" hidden="false" customHeight="true" outlineLevel="0" collapsed="false">
      <c r="A30" s="27" t="n">
        <v>26</v>
      </c>
      <c r="B30" s="23" t="s">
        <v>56</v>
      </c>
      <c r="C30" s="24" t="s">
        <v>122</v>
      </c>
      <c r="D30" s="24" t="s">
        <v>123</v>
      </c>
      <c r="E30" s="25" t="s">
        <v>124</v>
      </c>
      <c r="F30" s="20" t="s">
        <v>13</v>
      </c>
      <c r="G30" s="25"/>
      <c r="H30" s="25"/>
    </row>
    <row r="31" customFormat="false" ht="33.75" hidden="false" customHeight="true" outlineLevel="0" collapsed="false">
      <c r="A31" s="26" t="n">
        <v>27</v>
      </c>
      <c r="B31" s="19" t="s">
        <v>56</v>
      </c>
      <c r="C31" s="11" t="s">
        <v>122</v>
      </c>
      <c r="D31" s="10" t="s">
        <v>125</v>
      </c>
      <c r="E31" s="10" t="s">
        <v>126</v>
      </c>
      <c r="F31" s="20" t="s">
        <v>13</v>
      </c>
      <c r="G31" s="21"/>
      <c r="H31" s="21"/>
    </row>
    <row r="32" customFormat="false" ht="33.75" hidden="false" customHeight="true" outlineLevel="0" collapsed="false">
      <c r="A32" s="27" t="n">
        <v>28</v>
      </c>
      <c r="B32" s="27" t="s">
        <v>75</v>
      </c>
      <c r="C32" s="24" t="s">
        <v>122</v>
      </c>
      <c r="D32" s="25" t="s">
        <v>127</v>
      </c>
      <c r="E32" s="25" t="s">
        <v>128</v>
      </c>
      <c r="F32" s="20" t="s">
        <v>13</v>
      </c>
      <c r="G32" s="25"/>
      <c r="H32" s="25"/>
    </row>
    <row r="33" customFormat="false" ht="33.75" hidden="false" customHeight="true" outlineLevel="0" collapsed="false">
      <c r="A33" s="26" t="n">
        <v>29</v>
      </c>
      <c r="B33" s="19" t="s">
        <v>56</v>
      </c>
      <c r="C33" s="11" t="s">
        <v>122</v>
      </c>
      <c r="D33" s="10" t="s">
        <v>129</v>
      </c>
      <c r="E33" s="10" t="s">
        <v>130</v>
      </c>
      <c r="F33" s="20" t="s">
        <v>13</v>
      </c>
      <c r="G33" s="21"/>
      <c r="H33" s="21"/>
    </row>
    <row r="34" customFormat="false" ht="33.75" hidden="false" customHeight="true" outlineLevel="0" collapsed="false">
      <c r="A34" s="27" t="n">
        <v>30</v>
      </c>
      <c r="B34" s="27" t="s">
        <v>75</v>
      </c>
      <c r="C34" s="24" t="s">
        <v>131</v>
      </c>
      <c r="D34" s="25" t="s">
        <v>132</v>
      </c>
      <c r="E34" s="24" t="s">
        <v>133</v>
      </c>
      <c r="F34" s="20" t="s">
        <v>13</v>
      </c>
      <c r="G34" s="25"/>
      <c r="H34" s="25"/>
    </row>
    <row r="35" customFormat="false" ht="33.75" hidden="false" customHeight="true" outlineLevel="0" collapsed="false">
      <c r="A35" s="26" t="n">
        <v>31</v>
      </c>
      <c r="B35" s="26" t="s">
        <v>75</v>
      </c>
      <c r="C35" s="11" t="s">
        <v>131</v>
      </c>
      <c r="D35" s="10" t="s">
        <v>134</v>
      </c>
      <c r="E35" s="11" t="s">
        <v>135</v>
      </c>
      <c r="F35" s="20" t="s">
        <v>13</v>
      </c>
      <c r="G35" s="21"/>
      <c r="H35" s="21"/>
    </row>
    <row r="36" customFormat="false" ht="33.75" hidden="false" customHeight="true" outlineLevel="0" collapsed="false">
      <c r="A36" s="27" t="n">
        <v>32</v>
      </c>
      <c r="B36" s="27" t="s">
        <v>75</v>
      </c>
      <c r="C36" s="24" t="s">
        <v>131</v>
      </c>
      <c r="D36" s="25" t="s">
        <v>136</v>
      </c>
      <c r="E36" s="25" t="s">
        <v>137</v>
      </c>
      <c r="F36" s="20" t="s">
        <v>13</v>
      </c>
      <c r="G36" s="25"/>
      <c r="H36" s="25"/>
    </row>
    <row r="37" customFormat="false" ht="33.75" hidden="false" customHeight="true" outlineLevel="0" collapsed="false">
      <c r="A37" s="26" t="n">
        <v>33</v>
      </c>
      <c r="B37" s="26" t="s">
        <v>75</v>
      </c>
      <c r="C37" s="11" t="s">
        <v>131</v>
      </c>
      <c r="D37" s="10" t="s">
        <v>138</v>
      </c>
      <c r="E37" s="10" t="s">
        <v>139</v>
      </c>
      <c r="F37" s="20" t="s">
        <v>13</v>
      </c>
      <c r="G37" s="21"/>
      <c r="H37" s="21"/>
    </row>
    <row r="38" customFormat="false" ht="33.75" hidden="false" customHeight="true" outlineLevel="0" collapsed="false">
      <c r="A38" s="27" t="n">
        <v>34</v>
      </c>
      <c r="B38" s="23" t="s">
        <v>56</v>
      </c>
      <c r="C38" s="24" t="s">
        <v>140</v>
      </c>
      <c r="D38" s="25" t="s">
        <v>141</v>
      </c>
      <c r="E38" s="24" t="s">
        <v>142</v>
      </c>
      <c r="F38" s="20" t="s">
        <v>13</v>
      </c>
      <c r="G38" s="25"/>
      <c r="H38" s="25"/>
    </row>
    <row r="39" customFormat="false" ht="33.75" hidden="false" customHeight="true" outlineLevel="0" collapsed="false">
      <c r="A39" s="26" t="n">
        <v>35</v>
      </c>
      <c r="B39" s="19" t="s">
        <v>56</v>
      </c>
      <c r="C39" s="11" t="s">
        <v>140</v>
      </c>
      <c r="D39" s="10" t="s">
        <v>143</v>
      </c>
      <c r="E39" s="10" t="s">
        <v>144</v>
      </c>
      <c r="F39" s="20" t="s">
        <v>13</v>
      </c>
      <c r="G39" s="21"/>
      <c r="H39" s="21"/>
    </row>
  </sheetData>
  <autoFilter ref="A3:H39"/>
  <dataValidations count="1">
    <dataValidation allowBlank="false" errorStyle="stop" operator="between" showDropDown="false" showErrorMessage="false" showInputMessage="false" sqref="F5:F39" type="list">
      <formula1>"未実施,OK,NG,対象外"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2026-09-12T11:40:25Z</dcterms:created>
  <dc:creator>openpyxl</dc:creator>
  <dc:description/>
  <dc:language>ja-JP</dc:language>
  <cp:lastModifiedBy/>
  <dcterms:modified xsi:type="dcterms:W3CDTF">2026-09-12T11:40:25Z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